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ananyasaxena/Desktop/Data Analytics/EV DA/"/>
    </mc:Choice>
  </mc:AlternateContent>
  <xr:revisionPtr revIDLastSave="0" documentId="8_{37EA0F4C-A5A1-5E4F-87D2-E863CBE7E844}" xr6:coauthVersionLast="47" xr6:coauthVersionMax="47" xr10:uidLastSave="{00000000-0000-0000-0000-000000000000}"/>
  <bookViews>
    <workbookView xWindow="0" yWindow="660" windowWidth="29400" windowHeight="18460" activeTab="5" xr2:uid="{000775F9-DB6F-5C43-A3C9-35660B8C566D}"/>
  </bookViews>
  <sheets>
    <sheet name="Q1- Stations by State" sheetId="2" r:id="rId1"/>
    <sheet name="Q2- Electricity by State" sheetId="4" r:id="rId2"/>
    <sheet name="Q3 (a)- Yearly Trend" sheetId="6" r:id="rId3"/>
    <sheet name="Q3 (b)- Monthly Trend" sheetId="10" r:id="rId4"/>
    <sheet name="Q4- Utilisation Index" sheetId="11" r:id="rId5"/>
    <sheet name="8486_cleaned_analysis" sheetId="1" r:id="rId6"/>
  </sheets>
  <calcPr calcId="191029"/>
  <pivotCaches>
    <pivotCache cacheId="1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1" l="1"/>
  <c r="E4" i="11"/>
  <c r="E5" i="11"/>
  <c r="E6" i="11"/>
  <c r="E7" i="11"/>
  <c r="E8" i="11"/>
  <c r="E9" i="11"/>
  <c r="E10" i="11"/>
  <c r="E11" i="11"/>
  <c r="E12" i="11"/>
  <c r="E13" i="11"/>
  <c r="E14" i="11"/>
  <c r="E15" i="11"/>
  <c r="E16" i="11"/>
  <c r="E17" i="11"/>
  <c r="E18" i="11"/>
  <c r="E19" i="11"/>
  <c r="E2" i="11"/>
  <c r="D8" i="11"/>
  <c r="D14" i="11"/>
  <c r="D11" i="11"/>
  <c r="D9" i="11"/>
  <c r="C7" i="11"/>
  <c r="D7" i="11" s="1"/>
  <c r="C13" i="11"/>
  <c r="D13" i="11" s="1"/>
  <c r="C5" i="11"/>
  <c r="D5" i="11" s="1"/>
  <c r="C6" i="11"/>
  <c r="D6" i="11" s="1"/>
  <c r="C10" i="11"/>
  <c r="D10" i="11" s="1"/>
  <c r="C2" i="11"/>
  <c r="D2" i="11" s="1"/>
  <c r="C8" i="11"/>
  <c r="C14" i="11"/>
  <c r="C12" i="11"/>
  <c r="D12" i="11" s="1"/>
  <c r="C19" i="11"/>
  <c r="D19" i="11" s="1"/>
  <c r="C16" i="11"/>
  <c r="D16" i="11" s="1"/>
  <c r="C17" i="11"/>
  <c r="D17" i="11" s="1"/>
  <c r="C3" i="11"/>
  <c r="D3" i="11" s="1"/>
  <c r="C4" i="11"/>
  <c r="D4" i="11" s="1"/>
  <c r="C11" i="11"/>
  <c r="C9" i="11"/>
  <c r="C18" i="11"/>
  <c r="D18" i="11" s="1"/>
  <c r="C15" i="11"/>
  <c r="D15" i="11" s="1"/>
  <c r="B7" i="11"/>
  <c r="B13" i="11"/>
  <c r="B5" i="11"/>
  <c r="B6" i="11"/>
  <c r="B10" i="11"/>
  <c r="B2" i="11"/>
  <c r="B8" i="11"/>
  <c r="B14" i="11"/>
  <c r="B12" i="11"/>
  <c r="B19" i="11"/>
  <c r="B16" i="11"/>
  <c r="B17" i="11"/>
  <c r="B3" i="11"/>
  <c r="B4" i="11"/>
  <c r="B11" i="11"/>
  <c r="B9" i="11"/>
  <c r="B18" i="11"/>
  <c r="B15" i="11"/>
  <c r="E5" i="6"/>
  <c r="D5" i="6"/>
</calcChain>
</file>

<file path=xl/sharedStrings.xml><?xml version="1.0" encoding="utf-8"?>
<sst xmlns="http://schemas.openxmlformats.org/spreadsheetml/2006/main" count="2930" uniqueCount="115">
  <si>
    <t>Country</t>
  </si>
  <si>
    <t>financial_year</t>
  </si>
  <si>
    <t>calendar_year</t>
  </si>
  <si>
    <t>calendar_month</t>
  </si>
  <si>
    <t>DISCOM</t>
  </si>
  <si>
    <t>State</t>
  </si>
  <si>
    <t>city</t>
  </si>
  <si>
    <t>ev_stations</t>
  </si>
  <si>
    <t>hd_stations</t>
  </si>
  <si>
    <t>ev_kwh</t>
  </si>
  <si>
    <t>hd_kwh</t>
  </si>
  <si>
    <t>total_mu</t>
  </si>
  <si>
    <t>India</t>
  </si>
  <si>
    <t>2023-24</t>
  </si>
  <si>
    <t>HESCOM</t>
  </si>
  <si>
    <t>KAR</t>
  </si>
  <si>
    <t>hubli</t>
  </si>
  <si>
    <t>APEPDCL</t>
  </si>
  <si>
    <t>AP</t>
  </si>
  <si>
    <t>visakhapatnam, rajmahendravaram, west godavari, srikakulam, vizianagaram</t>
  </si>
  <si>
    <t>NBPDCL</t>
  </si>
  <si>
    <t>BIHAR</t>
  </si>
  <si>
    <t>patna</t>
  </si>
  <si>
    <t>GESCOM</t>
  </si>
  <si>
    <t>kalaburgi</t>
  </si>
  <si>
    <t>DGVCL</t>
  </si>
  <si>
    <t>GUJ</t>
  </si>
  <si>
    <t>surat city, navsari, vapi-town, haldarva, bharuch east, kavadiya colony</t>
  </si>
  <si>
    <t>Tata Power-DDL</t>
  </si>
  <si>
    <t>DELHI</t>
  </si>
  <si>
    <t>new delhi</t>
  </si>
  <si>
    <t>MPMKVVCL</t>
  </si>
  <si>
    <t>MP</t>
  </si>
  <si>
    <t>bhopal city, gwalior city, betul, guna, harda, itarsi, narmadapuram, bareli, raisen, narsinghgarh, zeerapur, ashta, vidisha</t>
  </si>
  <si>
    <t>PGVCL</t>
  </si>
  <si>
    <t>rajkot, surendranagar, junagadh, jamnagar, morbi, botad</t>
  </si>
  <si>
    <t>MESCOM</t>
  </si>
  <si>
    <t>mangaluru, udupi, shivamogga, chikkamagaluru</t>
  </si>
  <si>
    <t>SBPDCL</t>
  </si>
  <si>
    <t>TANGEDCO</t>
  </si>
  <si>
    <t>TN</t>
  </si>
  <si>
    <t>coimbatore, villupuram, tirunelveli, chennai north, vellore</t>
  </si>
  <si>
    <t>TPCODL</t>
  </si>
  <si>
    <t>ORISSA</t>
  </si>
  <si>
    <t>bhubaneswar, puri, khordha &amp; paradeep</t>
  </si>
  <si>
    <t>KSEB</t>
  </si>
  <si>
    <t>KER</t>
  </si>
  <si>
    <t>thiruvananthapuram, ernakulam, kozhikode</t>
  </si>
  <si>
    <t>DVC</t>
  </si>
  <si>
    <t>JHARKHAND</t>
  </si>
  <si>
    <t>maithon, dhanbad</t>
  </si>
  <si>
    <t>CESC</t>
  </si>
  <si>
    <t>WB</t>
  </si>
  <si>
    <t>kolkata</t>
  </si>
  <si>
    <t>APDCL</t>
  </si>
  <si>
    <t>ASSAM</t>
  </si>
  <si>
    <t>badarpur, karimganj, kokrajhar, nagaon, silchar, guwahati, tezpur</t>
  </si>
  <si>
    <t>Brihan Mumbai Electric Supply Company (BEST)</t>
  </si>
  <si>
    <t>MAH</t>
  </si>
  <si>
    <t>mumbai (best)</t>
  </si>
  <si>
    <t>BYPL</t>
  </si>
  <si>
    <t>UGVCL</t>
  </si>
  <si>
    <t>hebatpur, bavla(ramnagar), fedra, dholasan, asal, modasa, majadar, nugar, rangpur</t>
  </si>
  <si>
    <t>Torrent Power</t>
  </si>
  <si>
    <t>ahemdabad</t>
  </si>
  <si>
    <t>2022-23</t>
  </si>
  <si>
    <t>MSEDCL</t>
  </si>
  <si>
    <t>navi mumbai, pune, thane, nagpur</t>
  </si>
  <si>
    <t>APSPDCL</t>
  </si>
  <si>
    <t>anantpur, kadapa, kurnool, nellore, tirupati</t>
  </si>
  <si>
    <t>TSNPDCL</t>
  </si>
  <si>
    <t>TNG</t>
  </si>
  <si>
    <t>adilabad, hanamkonda, kamareddy, karimnagar, khammam, mahabubabad, nirmal, nazimabad, pdeapally, warangal</t>
  </si>
  <si>
    <t>BRPL</t>
  </si>
  <si>
    <t>UHBVN</t>
  </si>
  <si>
    <t>HARYANA</t>
  </si>
  <si>
    <t>panchkula, karnal, kaithal, sonipat</t>
  </si>
  <si>
    <t>CESC Mysore</t>
  </si>
  <si>
    <t>mysore, mandya, hassan, kodagu</t>
  </si>
  <si>
    <t>TSSPDCL</t>
  </si>
  <si>
    <t>hyderabad</t>
  </si>
  <si>
    <t>Noida Power Company Ltd. (NPCL)</t>
  </si>
  <si>
    <t>UP</t>
  </si>
  <si>
    <t>greater noida</t>
  </si>
  <si>
    <t>JDVVNL</t>
  </si>
  <si>
    <t>RAJ</t>
  </si>
  <si>
    <t>pali</t>
  </si>
  <si>
    <t>AVVNL</t>
  </si>
  <si>
    <t>ajmer</t>
  </si>
  <si>
    <t>panchkula, karnal, kaithal, sonipat, ambala, kurukshetra</t>
  </si>
  <si>
    <t>JVVNL</t>
  </si>
  <si>
    <t>alwar, dausa, jcc, jpdc</t>
  </si>
  <si>
    <t>DHBVN</t>
  </si>
  <si>
    <t>faridabad, gurugram, hisar, rewari, sirsa, narnaul, palwal</t>
  </si>
  <si>
    <t>CHANDIGARH</t>
  </si>
  <si>
    <t>chandigarh</t>
  </si>
  <si>
    <t>hebatpur, bavla (ramnagar), fedra, dholasan, asal, modasa, majadar, nugar</t>
  </si>
  <si>
    <t>hebatpur, bavla (ramnagar), fedra, dholasan, asal, modasa, majadar, nugar, rangpur</t>
  </si>
  <si>
    <t>BESCOM</t>
  </si>
  <si>
    <t>bangalore, davangere, chitradurga, tumkuru, kolar</t>
  </si>
  <si>
    <t>bhubaneswar</t>
  </si>
  <si>
    <t>2e-05</t>
  </si>
  <si>
    <t>Row Labels</t>
  </si>
  <si>
    <t>Grand Total</t>
  </si>
  <si>
    <t>Sum of ev_stations</t>
  </si>
  <si>
    <t>Average of ev_stations</t>
  </si>
  <si>
    <t>Sum of total_mu</t>
  </si>
  <si>
    <t>Growth %</t>
  </si>
  <si>
    <t>no growth for the first year, it's the base</t>
  </si>
  <si>
    <t xml:space="preserve"> - </t>
  </si>
  <si>
    <t/>
  </si>
  <si>
    <t>Total EV Electricity (kWh)</t>
  </si>
  <si>
    <t>Total EV Stations</t>
  </si>
  <si>
    <t>Utilisation Index (kWh per station)</t>
  </si>
  <si>
    <t>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</si>
</sst>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0"/>
      <name val="Aptos Narrow"/>
      <scheme val="minor"/>
    </font>
    <font>
      <b/>
      <sz val="12"/>
      <color theme="1"/>
      <name val="Aptos Narrow"/>
      <scheme val="minor"/>
    </font>
    <font>
      <b/>
      <sz val="10"/>
      <color theme="0"/>
      <name val="Arial Unicode MS"/>
      <family val="2"/>
    </font>
    <font>
      <b/>
      <sz val="12"/>
      <color theme="0"/>
      <name val="Aptos Narrow (Body)"/>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rgb="FFC0000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33" borderId="0" xfId="0" applyFont="1" applyFill="1" applyAlignment="1">
      <alignment horizontal="center" vertical="center"/>
    </xf>
    <xf numFmtId="0" fontId="0" fillId="0" borderId="0" xfId="0" applyAlignment="1">
      <alignment horizontal="center"/>
    </xf>
    <xf numFmtId="0" fontId="18" fillId="33" borderId="0" xfId="0" applyFont="1" applyFill="1" applyAlignment="1">
      <alignment horizontal="center"/>
    </xf>
    <xf numFmtId="0" fontId="0" fillId="0" borderId="0" xfId="0" applyAlignment="1">
      <alignment horizontal="center" vertical="center"/>
    </xf>
    <xf numFmtId="0" fontId="0" fillId="0" borderId="0" xfId="0" quotePrefix="1" applyAlignment="1">
      <alignment horizontal="center"/>
    </xf>
    <xf numFmtId="0" fontId="18" fillId="33" borderId="0" xfId="0" applyFont="1" applyFill="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9" fontId="0" fillId="0" borderId="0" xfId="2" applyFont="1" applyAlignment="1">
      <alignment horizontal="center" vertical="center"/>
    </xf>
    <xf numFmtId="0" fontId="19" fillId="0" borderId="0" xfId="0" applyFont="1" applyAlignment="1">
      <alignment horizontal="center" vertical="center"/>
    </xf>
    <xf numFmtId="43" fontId="0" fillId="0" borderId="0" xfId="1" applyFont="1" applyAlignment="1">
      <alignment horizontal="center"/>
    </xf>
    <xf numFmtId="2" fontId="0" fillId="0" borderId="0" xfId="1" applyNumberFormat="1" applyFont="1" applyAlignment="1">
      <alignment horizontal="center" vertical="center"/>
    </xf>
    <xf numFmtId="0" fontId="17" fillId="34" borderId="0" xfId="0" applyFont="1" applyFill="1" applyAlignment="1">
      <alignment horizontal="center"/>
    </xf>
    <xf numFmtId="0" fontId="17" fillId="35" borderId="0" xfId="0" applyFont="1" applyFill="1" applyAlignment="1">
      <alignment horizontal="center"/>
    </xf>
    <xf numFmtId="0" fontId="13" fillId="36" borderId="0" xfId="0" applyFont="1" applyFill="1"/>
    <xf numFmtId="43" fontId="20" fillId="36" borderId="0" xfId="1" applyFont="1" applyFill="1" applyAlignment="1">
      <alignment horizontal="center"/>
    </xf>
    <xf numFmtId="2" fontId="13" fillId="36" borderId="0" xfId="1" applyNumberFormat="1" applyFont="1" applyFill="1" applyAlignment="1">
      <alignment horizontal="center" vertical="center"/>
    </xf>
    <xf numFmtId="0" fontId="21" fillId="36" borderId="0" xfId="0" applyFont="1" applyFill="1" applyAlignment="1">
      <alignment horizontal="center" vertical="center"/>
    </xf>
    <xf numFmtId="0" fontId="13" fillId="36" borderId="0" xfId="0" applyFont="1" applyFill="1" applyAlignment="1">
      <alignment horizontal="center" vertical="center"/>
    </xf>
    <xf numFmtId="0" fontId="17" fillId="37" borderId="0" xfId="0" applyFont="1"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 cent" xfId="2" builtinId="5"/>
    <cellStyle name="Title" xfId="3" builtinId="15" customBuiltin="1"/>
    <cellStyle name="Total" xfId="19" builtinId="25" customBuiltin="1"/>
    <cellStyle name="Warning Text" xfId="16" builtinId="11" customBuiltin="1"/>
  </cellStyles>
  <dxfs count="14">
    <dxf>
      <font>
        <b/>
        <i val="0"/>
        <strike val="0"/>
        <condense val="0"/>
        <extend val="0"/>
        <outline val="0"/>
        <shadow val="0"/>
        <u val="none"/>
        <vertAlign val="baseline"/>
        <sz val="12"/>
        <color theme="0"/>
        <name val="Aptos Narrow"/>
        <scheme val="minor"/>
      </font>
      <fill>
        <patternFill patternType="solid">
          <fgColor indexed="64"/>
          <bgColor theme="5"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7B0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[EV_analysis.xlsx]Q1- Stations by State!PivotTable1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EV Charging Stations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 Stations by State'!$B$3</c:f>
              <c:strCache>
                <c:ptCount val="1"/>
                <c:pt idx="0">
                  <c:v>Total</c:v>
                </c:pt>
              </c:strCache>
            </c:strRef>
          </c:tx>
          <c:spPr>
            <a:solidFill>
              <a:schemeClr val="accent1"/>
            </a:solidFill>
            <a:ln>
              <a:noFill/>
            </a:ln>
            <a:effectLst/>
          </c:spPr>
          <c:invertIfNegative val="0"/>
          <c:cat>
            <c:strRef>
              <c:f>'Q1- Stations by State'!$A$4:$A$22</c:f>
              <c:strCache>
                <c:ptCount val="18"/>
                <c:pt idx="0">
                  <c:v>MAH</c:v>
                </c:pt>
                <c:pt idx="1">
                  <c:v>DELHI</c:v>
                </c:pt>
                <c:pt idx="2">
                  <c:v>BIHAR</c:v>
                </c:pt>
                <c:pt idx="3">
                  <c:v>KER</c:v>
                </c:pt>
                <c:pt idx="4">
                  <c:v>MP</c:v>
                </c:pt>
                <c:pt idx="5">
                  <c:v>RAJ</c:v>
                </c:pt>
                <c:pt idx="6">
                  <c:v>TN</c:v>
                </c:pt>
                <c:pt idx="7">
                  <c:v>ASSAM</c:v>
                </c:pt>
                <c:pt idx="8">
                  <c:v>KAR</c:v>
                </c:pt>
                <c:pt idx="9">
                  <c:v>AP</c:v>
                </c:pt>
                <c:pt idx="10">
                  <c:v>TNG</c:v>
                </c:pt>
                <c:pt idx="11">
                  <c:v>HARYANA</c:v>
                </c:pt>
                <c:pt idx="12">
                  <c:v>GUJ</c:v>
                </c:pt>
                <c:pt idx="13">
                  <c:v>CHANDIGARH</c:v>
                </c:pt>
                <c:pt idx="14">
                  <c:v>ORISSA</c:v>
                </c:pt>
                <c:pt idx="15">
                  <c:v>WB</c:v>
                </c:pt>
                <c:pt idx="16">
                  <c:v>UP</c:v>
                </c:pt>
                <c:pt idx="17">
                  <c:v>JHARKHAND</c:v>
                </c:pt>
              </c:strCache>
            </c:strRef>
          </c:cat>
          <c:val>
            <c:numRef>
              <c:f>'Q1- Stations by State'!$B$4:$B$22</c:f>
              <c:numCache>
                <c:formatCode>General</c:formatCode>
                <c:ptCount val="18"/>
                <c:pt idx="0">
                  <c:v>1067.1707317073171</c:v>
                </c:pt>
                <c:pt idx="1">
                  <c:v>1050.7936507936508</c:v>
                </c:pt>
                <c:pt idx="2">
                  <c:v>138.25925925925927</c:v>
                </c:pt>
                <c:pt idx="3">
                  <c:v>135.5</c:v>
                </c:pt>
                <c:pt idx="4">
                  <c:v>92.4</c:v>
                </c:pt>
                <c:pt idx="5">
                  <c:v>61.0625</c:v>
                </c:pt>
                <c:pt idx="6">
                  <c:v>61</c:v>
                </c:pt>
                <c:pt idx="7">
                  <c:v>58.095238095238095</c:v>
                </c:pt>
                <c:pt idx="8">
                  <c:v>45.045454545454547</c:v>
                </c:pt>
                <c:pt idx="9">
                  <c:v>41.630434782608695</c:v>
                </c:pt>
                <c:pt idx="10">
                  <c:v>32.026315789473685</c:v>
                </c:pt>
                <c:pt idx="11">
                  <c:v>26.071428571428573</c:v>
                </c:pt>
                <c:pt idx="12">
                  <c:v>19.702380952380953</c:v>
                </c:pt>
                <c:pt idx="13">
                  <c:v>17.833333333333332</c:v>
                </c:pt>
                <c:pt idx="14">
                  <c:v>11.555555555555555</c:v>
                </c:pt>
                <c:pt idx="15">
                  <c:v>8.15</c:v>
                </c:pt>
                <c:pt idx="16">
                  <c:v>1.8</c:v>
                </c:pt>
                <c:pt idx="17">
                  <c:v>1</c:v>
                </c:pt>
              </c:numCache>
            </c:numRef>
          </c:val>
          <c:extLst>
            <c:ext xmlns:c16="http://schemas.microsoft.com/office/drawing/2014/chart" uri="{C3380CC4-5D6E-409C-BE32-E72D297353CC}">
              <c16:uniqueId val="{00000000-0A78-5640-AA69-745657AAF033}"/>
            </c:ext>
          </c:extLst>
        </c:ser>
        <c:dLbls>
          <c:showLegendKey val="0"/>
          <c:showVal val="0"/>
          <c:showCatName val="0"/>
          <c:showSerName val="0"/>
          <c:showPercent val="0"/>
          <c:showBubbleSize val="0"/>
        </c:dLbls>
        <c:gapWidth val="219"/>
        <c:axId val="1232106175"/>
        <c:axId val="1232105279"/>
      </c:barChart>
      <c:catAx>
        <c:axId val="123210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05279"/>
        <c:crosses val="autoZero"/>
        <c:auto val="1"/>
        <c:lblAlgn val="ctr"/>
        <c:lblOffset val="100"/>
        <c:noMultiLvlLbl val="0"/>
      </c:catAx>
      <c:valAx>
        <c:axId val="1232105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0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[EV_analysis.xlsx]Q2- Electricity by State!PivotTable2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Electricity Consumed by State (MU)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 Electricity by State'!$B$3</c:f>
              <c:strCache>
                <c:ptCount val="1"/>
                <c:pt idx="0">
                  <c:v>Total</c:v>
                </c:pt>
              </c:strCache>
            </c:strRef>
          </c:tx>
          <c:spPr>
            <a:solidFill>
              <a:schemeClr val="accent1"/>
            </a:solidFill>
            <a:ln>
              <a:noFill/>
            </a:ln>
            <a:effectLst/>
          </c:spPr>
          <c:invertIfNegative val="0"/>
          <c:cat>
            <c:strRef>
              <c:f>'Q2- Electricity by State'!$A$4:$A$22</c:f>
              <c:strCache>
                <c:ptCount val="18"/>
                <c:pt idx="0">
                  <c:v>DELHI</c:v>
                </c:pt>
                <c:pt idx="1">
                  <c:v>MAH</c:v>
                </c:pt>
                <c:pt idx="2">
                  <c:v>GUJ</c:v>
                </c:pt>
                <c:pt idx="3">
                  <c:v>HARYANA</c:v>
                </c:pt>
                <c:pt idx="4">
                  <c:v>AP</c:v>
                </c:pt>
                <c:pt idx="5">
                  <c:v>RAJ</c:v>
                </c:pt>
                <c:pt idx="6">
                  <c:v>CHANDIGARH</c:v>
                </c:pt>
                <c:pt idx="7">
                  <c:v>WB</c:v>
                </c:pt>
                <c:pt idx="8">
                  <c:v>KAR</c:v>
                </c:pt>
                <c:pt idx="9">
                  <c:v>ASSAM</c:v>
                </c:pt>
                <c:pt idx="10">
                  <c:v>TNG</c:v>
                </c:pt>
                <c:pt idx="11">
                  <c:v>BIHAR</c:v>
                </c:pt>
                <c:pt idx="12">
                  <c:v>TN</c:v>
                </c:pt>
                <c:pt idx="13">
                  <c:v>KER</c:v>
                </c:pt>
                <c:pt idx="14">
                  <c:v>MP</c:v>
                </c:pt>
                <c:pt idx="15">
                  <c:v>UP</c:v>
                </c:pt>
                <c:pt idx="16">
                  <c:v>ORISSA</c:v>
                </c:pt>
                <c:pt idx="17">
                  <c:v>JHARKHAND</c:v>
                </c:pt>
              </c:strCache>
            </c:strRef>
          </c:cat>
          <c:val>
            <c:numRef>
              <c:f>'Q2- Electricity by State'!$B$4:$B$22</c:f>
              <c:numCache>
                <c:formatCode>General</c:formatCode>
                <c:ptCount val="18"/>
                <c:pt idx="0">
                  <c:v>252.65400000000005</c:v>
                </c:pt>
                <c:pt idx="1">
                  <c:v>157.78600000000006</c:v>
                </c:pt>
                <c:pt idx="2">
                  <c:v>59.719000000000015</c:v>
                </c:pt>
                <c:pt idx="3">
                  <c:v>8.8693839999999984</c:v>
                </c:pt>
                <c:pt idx="4">
                  <c:v>8.8669999999999973</c:v>
                </c:pt>
                <c:pt idx="5">
                  <c:v>5.9602280000000007</c:v>
                </c:pt>
                <c:pt idx="6">
                  <c:v>5.1082639999999992</c:v>
                </c:pt>
                <c:pt idx="7">
                  <c:v>4.862000000000001</c:v>
                </c:pt>
                <c:pt idx="8">
                  <c:v>3.8814799999999989</c:v>
                </c:pt>
                <c:pt idx="9">
                  <c:v>3.5799939999999992</c:v>
                </c:pt>
                <c:pt idx="10">
                  <c:v>3.4179999999999993</c:v>
                </c:pt>
                <c:pt idx="11">
                  <c:v>3.2439999999999993</c:v>
                </c:pt>
                <c:pt idx="12">
                  <c:v>2.31</c:v>
                </c:pt>
                <c:pt idx="13">
                  <c:v>2.1817359999999999</c:v>
                </c:pt>
                <c:pt idx="14">
                  <c:v>1.0900000000000001</c:v>
                </c:pt>
                <c:pt idx="15">
                  <c:v>3.6000000000000011E-2</c:v>
                </c:pt>
                <c:pt idx="16">
                  <c:v>2.4E-2</c:v>
                </c:pt>
                <c:pt idx="17">
                  <c:v>0</c:v>
                </c:pt>
              </c:numCache>
            </c:numRef>
          </c:val>
          <c:extLst>
            <c:ext xmlns:c16="http://schemas.microsoft.com/office/drawing/2014/chart" uri="{C3380CC4-5D6E-409C-BE32-E72D297353CC}">
              <c16:uniqueId val="{00000000-6E6C-714D-BD19-96639DA0172B}"/>
            </c:ext>
          </c:extLst>
        </c:ser>
        <c:dLbls>
          <c:showLegendKey val="0"/>
          <c:showVal val="0"/>
          <c:showCatName val="0"/>
          <c:showSerName val="0"/>
          <c:showPercent val="0"/>
          <c:showBubbleSize val="0"/>
        </c:dLbls>
        <c:gapWidth val="219"/>
        <c:axId val="1232159615"/>
        <c:axId val="1232107967"/>
      </c:barChart>
      <c:catAx>
        <c:axId val="123215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07967"/>
        <c:crosses val="autoZero"/>
        <c:auto val="1"/>
        <c:lblAlgn val="ctr"/>
        <c:lblOffset val="100"/>
        <c:noMultiLvlLbl val="0"/>
      </c:catAx>
      <c:valAx>
        <c:axId val="123210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5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[EV_analysis.xlsx]Q3 (a)- Yearly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Year-on-Year Growth in EV Infrastructure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 (a)- Yearly Trend'!$B$3</c:f>
              <c:strCache>
                <c:ptCount val="1"/>
                <c:pt idx="0">
                  <c:v>Sum of ev_stations</c:v>
                </c:pt>
              </c:strCache>
            </c:strRef>
          </c:tx>
          <c:spPr>
            <a:solidFill>
              <a:schemeClr val="accent1"/>
            </a:solidFill>
            <a:ln>
              <a:noFill/>
            </a:ln>
            <a:effectLst/>
          </c:spPr>
          <c:invertIfNegative val="0"/>
          <c:cat>
            <c:strRef>
              <c:f>'Q3 (a)- Yearly Trend'!$A$4:$A$6</c:f>
              <c:strCache>
                <c:ptCount val="2"/>
                <c:pt idx="0">
                  <c:v>2022-23</c:v>
                </c:pt>
                <c:pt idx="1">
                  <c:v>2023-24</c:v>
                </c:pt>
              </c:strCache>
            </c:strRef>
          </c:cat>
          <c:val>
            <c:numRef>
              <c:f>'Q3 (a)- Yearly Trend'!$B$4:$B$6</c:f>
              <c:numCache>
                <c:formatCode>General</c:formatCode>
                <c:ptCount val="2"/>
                <c:pt idx="0">
                  <c:v>37858</c:v>
                </c:pt>
                <c:pt idx="1">
                  <c:v>90506</c:v>
                </c:pt>
              </c:numCache>
            </c:numRef>
          </c:val>
          <c:extLst>
            <c:ext xmlns:c16="http://schemas.microsoft.com/office/drawing/2014/chart" uri="{C3380CC4-5D6E-409C-BE32-E72D297353CC}">
              <c16:uniqueId val="{00000000-1894-A643-A713-4A4628AB98C0}"/>
            </c:ext>
          </c:extLst>
        </c:ser>
        <c:ser>
          <c:idx val="1"/>
          <c:order val="1"/>
          <c:tx>
            <c:strRef>
              <c:f>'Q3 (a)- Yearly Trend'!$C$3</c:f>
              <c:strCache>
                <c:ptCount val="1"/>
                <c:pt idx="0">
                  <c:v>Sum of total_mu</c:v>
                </c:pt>
              </c:strCache>
            </c:strRef>
          </c:tx>
          <c:spPr>
            <a:solidFill>
              <a:schemeClr val="accent2"/>
            </a:solidFill>
            <a:ln>
              <a:noFill/>
            </a:ln>
            <a:effectLst/>
          </c:spPr>
          <c:invertIfNegative val="0"/>
          <c:cat>
            <c:strRef>
              <c:f>'Q3 (a)- Yearly Trend'!$A$4:$A$6</c:f>
              <c:strCache>
                <c:ptCount val="2"/>
                <c:pt idx="0">
                  <c:v>2022-23</c:v>
                </c:pt>
                <c:pt idx="1">
                  <c:v>2023-24</c:v>
                </c:pt>
              </c:strCache>
            </c:strRef>
          </c:cat>
          <c:val>
            <c:numRef>
              <c:f>'Q3 (a)- Yearly Trend'!$C$4:$C$6</c:f>
              <c:numCache>
                <c:formatCode>General</c:formatCode>
                <c:ptCount val="2"/>
                <c:pt idx="0">
                  <c:v>139.35414400000005</c:v>
                </c:pt>
                <c:pt idx="1">
                  <c:v>384.23694199999989</c:v>
                </c:pt>
              </c:numCache>
            </c:numRef>
          </c:val>
          <c:extLst>
            <c:ext xmlns:c16="http://schemas.microsoft.com/office/drawing/2014/chart" uri="{C3380CC4-5D6E-409C-BE32-E72D297353CC}">
              <c16:uniqueId val="{00000001-1894-A643-A713-4A4628AB98C0}"/>
            </c:ext>
          </c:extLst>
        </c:ser>
        <c:dLbls>
          <c:showLegendKey val="0"/>
          <c:showVal val="0"/>
          <c:showCatName val="0"/>
          <c:showSerName val="0"/>
          <c:showPercent val="0"/>
          <c:showBubbleSize val="0"/>
        </c:dLbls>
        <c:gapWidth val="219"/>
        <c:overlap val="-27"/>
        <c:axId val="1232120767"/>
        <c:axId val="1701974847"/>
      </c:barChart>
      <c:catAx>
        <c:axId val="12321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74847"/>
        <c:crosses val="autoZero"/>
        <c:auto val="1"/>
        <c:lblAlgn val="ctr"/>
        <c:lblOffset val="100"/>
        <c:noMultiLvlLbl val="0"/>
      </c:catAx>
      <c:valAx>
        <c:axId val="170197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2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[EV_analysis.xlsx]Q3 (b)- Monthly Trend!PivotTable6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EV Station Growth by Financial Year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'Q3 (b)- Monthly Trend'!$B$3:$B$4</c:f>
              <c:strCache>
                <c:ptCount val="1"/>
                <c:pt idx="0">
                  <c:v>2022-23</c:v>
                </c:pt>
              </c:strCache>
            </c:strRef>
          </c:tx>
          <c:spPr>
            <a:ln w="28575" cap="rnd">
              <a:solidFill>
                <a:schemeClr val="accent1"/>
              </a:solidFill>
              <a:round/>
            </a:ln>
            <a:effectLst/>
          </c:spPr>
          <c:marker>
            <c:symbol val="none"/>
          </c:marker>
          <c:cat>
            <c:strRef>
              <c:f>'Q3 (b)- Monthly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'Q3 (b)- Monthly Trend'!$B$5:$B$17</c:f>
              <c:numCache>
                <c:formatCode>General</c:formatCode>
                <c:ptCount val="12"/>
                <c:pt idx="3">
                  <c:v>2744</c:v>
                </c:pt>
                <c:pt idx="4">
                  <c:v>2852</c:v>
                </c:pt>
                <c:pt idx="5">
                  <c:v>2947</c:v>
                </c:pt>
                <c:pt idx="6">
                  <c:v>3006</c:v>
                </c:pt>
                <c:pt idx="7">
                  <c:v>3173</c:v>
                </c:pt>
                <c:pt idx="8">
                  <c:v>5533</c:v>
                </c:pt>
                <c:pt idx="9">
                  <c:v>5616</c:v>
                </c:pt>
                <c:pt idx="10">
                  <c:v>5785</c:v>
                </c:pt>
                <c:pt idx="11">
                  <c:v>6202</c:v>
                </c:pt>
              </c:numCache>
            </c:numRef>
          </c:val>
          <c:smooth val="0"/>
          <c:extLst>
            <c:ext xmlns:c16="http://schemas.microsoft.com/office/drawing/2014/chart" uri="{C3380CC4-5D6E-409C-BE32-E72D297353CC}">
              <c16:uniqueId val="{00000000-661E-B24D-9C40-C64A8ECC24C6}"/>
            </c:ext>
          </c:extLst>
        </c:ser>
        <c:ser>
          <c:idx val="1"/>
          <c:order val="1"/>
          <c:tx>
            <c:strRef>
              <c:f>'Q3 (b)- Monthly Trend'!$C$3:$C$4</c:f>
              <c:strCache>
                <c:ptCount val="1"/>
                <c:pt idx="0">
                  <c:v>2023-24</c:v>
                </c:pt>
              </c:strCache>
            </c:strRef>
          </c:tx>
          <c:spPr>
            <a:ln w="28575" cap="rnd">
              <a:solidFill>
                <a:schemeClr val="accent2"/>
              </a:solidFill>
              <a:round/>
            </a:ln>
            <a:effectLst/>
          </c:spPr>
          <c:marker>
            <c:symbol val="none"/>
          </c:marker>
          <c:cat>
            <c:strRef>
              <c:f>'Q3 (b)- Monthly Trend'!$A$5:$A$17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'Q3 (b)- Monthly Trend'!$C$5:$C$17</c:f>
              <c:numCache>
                <c:formatCode>General</c:formatCode>
                <c:ptCount val="12"/>
                <c:pt idx="0">
                  <c:v>6365</c:v>
                </c:pt>
                <c:pt idx="1">
                  <c:v>6500</c:v>
                </c:pt>
                <c:pt idx="2">
                  <c:v>6714</c:v>
                </c:pt>
                <c:pt idx="3">
                  <c:v>7289</c:v>
                </c:pt>
                <c:pt idx="4">
                  <c:v>7554</c:v>
                </c:pt>
                <c:pt idx="5">
                  <c:v>7730</c:v>
                </c:pt>
                <c:pt idx="6">
                  <c:v>7796</c:v>
                </c:pt>
                <c:pt idx="7">
                  <c:v>13113</c:v>
                </c:pt>
                <c:pt idx="8">
                  <c:v>9420</c:v>
                </c:pt>
                <c:pt idx="9">
                  <c:v>9434</c:v>
                </c:pt>
                <c:pt idx="10">
                  <c:v>8591</c:v>
                </c:pt>
              </c:numCache>
            </c:numRef>
          </c:val>
          <c:smooth val="0"/>
          <c:extLst>
            <c:ext xmlns:c16="http://schemas.microsoft.com/office/drawing/2014/chart" uri="{C3380CC4-5D6E-409C-BE32-E72D297353CC}">
              <c16:uniqueId val="{00000001-661E-B24D-9C40-C64A8ECC24C6}"/>
            </c:ext>
          </c:extLst>
        </c:ser>
        <c:dLbls>
          <c:showLegendKey val="0"/>
          <c:showVal val="0"/>
          <c:showCatName val="0"/>
          <c:showSerName val="0"/>
          <c:showPercent val="0"/>
          <c:showBubbleSize val="0"/>
        </c:dLbls>
        <c:smooth val="0"/>
        <c:axId val="271479936"/>
        <c:axId val="271468288"/>
      </c:lineChart>
      <c:catAx>
        <c:axId val="2714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68288"/>
        <c:crosses val="autoZero"/>
        <c:auto val="1"/>
        <c:lblAlgn val="ctr"/>
        <c:lblOffset val="100"/>
        <c:noMultiLvlLbl val="0"/>
      </c:catAx>
      <c:valAx>
        <c:axId val="2714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'Q4- Utilisation Index'!$D$1</c:f>
              <c:strCache>
                <c:ptCount val="1"/>
                <c:pt idx="0">
                  <c:v>Utilisation Index (kWh per station)</c:v>
                </c:pt>
              </c:strCache>
            </c:strRef>
          </c:tx>
          <c:spPr>
            <a:solidFill>
              <a:schemeClr val="accent1"/>
            </a:solidFill>
            <a:ln>
              <a:noFill/>
            </a:ln>
            <a:effectLst/>
          </c:spPr>
          <c:invertIfNegative val="0"/>
          <c:cat>
            <c:strRef>
              <c:f>'Q4- Utilisation Index'!$A$2:$A$19</c:f>
              <c:strCache>
                <c:ptCount val="18"/>
                <c:pt idx="0">
                  <c:v>HARYANA</c:v>
                </c:pt>
                <c:pt idx="1">
                  <c:v>RAJ</c:v>
                </c:pt>
                <c:pt idx="2">
                  <c:v>TN</c:v>
                </c:pt>
                <c:pt idx="3">
                  <c:v>CHANDIGARH</c:v>
                </c:pt>
                <c:pt idx="4">
                  <c:v>DELHI</c:v>
                </c:pt>
                <c:pt idx="5">
                  <c:v>ASSAM</c:v>
                </c:pt>
                <c:pt idx="6">
                  <c:v>JHARKHAND</c:v>
                </c:pt>
                <c:pt idx="7">
                  <c:v>UP</c:v>
                </c:pt>
                <c:pt idx="8">
                  <c:v>GUJ</c:v>
                </c:pt>
                <c:pt idx="9">
                  <c:v>TNG</c:v>
                </c:pt>
                <c:pt idx="10">
                  <c:v>KER</c:v>
                </c:pt>
                <c:pt idx="11">
                  <c:v>BIHAR</c:v>
                </c:pt>
                <c:pt idx="12">
                  <c:v>KAR</c:v>
                </c:pt>
                <c:pt idx="13">
                  <c:v>AP</c:v>
                </c:pt>
                <c:pt idx="14">
                  <c:v>MP</c:v>
                </c:pt>
                <c:pt idx="15">
                  <c:v>ORISSA</c:v>
                </c:pt>
                <c:pt idx="16">
                  <c:v>WB</c:v>
                </c:pt>
                <c:pt idx="17">
                  <c:v>MAH</c:v>
                </c:pt>
              </c:strCache>
            </c:strRef>
          </c:cat>
          <c:val>
            <c:numRef>
              <c:f>'Q4- Utilisation Index'!$D$2:$D$19</c:f>
              <c:numCache>
                <c:formatCode>General</c:formatCode>
                <c:ptCount val="18"/>
                <c:pt idx="0">
                  <c:v>12150.286301369862</c:v>
                </c:pt>
                <c:pt idx="1">
                  <c:v>5097.1054247697029</c:v>
                </c:pt>
                <c:pt idx="2">
                  <c:v>3442.4187779433682</c:v>
                </c:pt>
                <c:pt idx="3">
                  <c:v>3364.7850467289718</c:v>
                </c:pt>
                <c:pt idx="4">
                  <c:v>2738.0709818731116</c:v>
                </c:pt>
                <c:pt idx="5">
                  <c:v>2497.1795081967211</c:v>
                </c:pt>
                <c:pt idx="6">
                  <c:v>1795</c:v>
                </c:pt>
                <c:pt idx="7">
                  <c:v>987.88888888888891</c:v>
                </c:pt>
                <c:pt idx="8">
                  <c:v>893.8749244712991</c:v>
                </c:pt>
                <c:pt idx="9">
                  <c:v>765.82333607230896</c:v>
                </c:pt>
                <c:pt idx="10">
                  <c:v>695.16236162361622</c:v>
                </c:pt>
                <c:pt idx="11">
                  <c:v>471.100991159925</c:v>
                </c:pt>
                <c:pt idx="12">
                  <c:v>462.86781029263369</c:v>
                </c:pt>
                <c:pt idx="13">
                  <c:v>325.88198433420365</c:v>
                </c:pt>
                <c:pt idx="14">
                  <c:v>244.25324675324674</c:v>
                </c:pt>
                <c:pt idx="15">
                  <c:v>233.81730769230768</c:v>
                </c:pt>
                <c:pt idx="16">
                  <c:v>194.69325153374234</c:v>
                </c:pt>
                <c:pt idx="17">
                  <c:v>184.64167847511084</c:v>
                </c:pt>
              </c:numCache>
            </c:numRef>
          </c:val>
          <c:extLst>
            <c:ext xmlns:c16="http://schemas.microsoft.com/office/drawing/2014/chart" uri="{C3380CC4-5D6E-409C-BE32-E72D297353CC}">
              <c16:uniqueId val="{00000000-928D-D94C-9628-64B1A1F4FB02}"/>
            </c:ext>
          </c:extLst>
        </c:ser>
        <c:dLbls>
          <c:showLegendKey val="0"/>
          <c:showVal val="0"/>
          <c:showCatName val="0"/>
          <c:showSerName val="0"/>
          <c:showPercent val="0"/>
          <c:showBubbleSize val="0"/>
        </c:dLbls>
        <c:gapWidth val="182"/>
        <c:axId val="375458880"/>
        <c:axId val="375457984"/>
      </c:barChart>
      <c:catAx>
        <c:axId val="37545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57984"/>
        <c:crosses val="autoZero"/>
        <c:auto val="1"/>
        <c:lblAlgn val="ctr"/>
        <c:lblOffset val="100"/>
        <c:noMultiLvlLbl val="0"/>
      </c:catAx>
      <c:valAx>
        <c:axId val="37545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5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354851</xdr:colOff>
      <xdr:row>3</xdr:row>
      <xdr:rowOff>2988</xdr:rowOff>
    </xdr:from>
    <xdr:to>
      <xdr:col>7</xdr:col>
      <xdr:colOff>814293</xdr:colOff>
      <xdr:row>17</xdr:row>
      <xdr:rowOff>0</xdr:rowOff>
    </xdr:to>
    <xdr:graphicFrame macro="">
      <xdr:nvGraphicFramePr>
        <xdr:cNvPr id="4" name="Chart 1">
          <a:extLst>
            <a:ext uri="{FF2B5EF4-FFF2-40B4-BE49-F238E27FC236}">
              <a16:creationId xmlns:a16="http://schemas.microsoft.com/office/drawing/2014/main" id="{86402EBA-7A32-B614-7C4A-4C9CF2A9D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224366</xdr:colOff>
      <xdr:row>1</xdr:row>
      <xdr:rowOff>203679</xdr:rowOff>
    </xdr:from>
    <xdr:to>
      <xdr:col>10</xdr:col>
      <xdr:colOff>119810</xdr:colOff>
      <xdr:row>20</xdr:row>
      <xdr:rowOff>71887</xdr:rowOff>
    </xdr:to>
    <xdr:graphicFrame macro="">
      <xdr:nvGraphicFramePr>
        <xdr:cNvPr id="3" name="Chart 1">
          <a:extLst>
            <a:ext uri="{FF2B5EF4-FFF2-40B4-BE49-F238E27FC236}">
              <a16:creationId xmlns:a16="http://schemas.microsoft.com/office/drawing/2014/main" id="{AB22EF3D-A59E-A6F0-3B81-AEBC9AEEF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2153</xdr:colOff>
      <xdr:row>6</xdr:row>
      <xdr:rowOff>192443</xdr:rowOff>
    </xdr:from>
    <xdr:to>
      <xdr:col>7</xdr:col>
      <xdr:colOff>657637</xdr:colOff>
      <xdr:row>11</xdr:row>
      <xdr:rowOff>182202</xdr:rowOff>
    </xdr:to>
    <xdr:sp macro="" textlink="">
      <xdr:nvSpPr>
        <xdr:cNvPr id="3" name="TextBox 2">
          <a:extLst>
            <a:ext uri="{FF2B5EF4-FFF2-40B4-BE49-F238E27FC236}">
              <a16:creationId xmlns:a16="http://schemas.microsoft.com/office/drawing/2014/main" id="{C2B6D015-14DA-7539-30BF-755DCADBB208}"/>
            </a:ext>
          </a:extLst>
        </xdr:cNvPr>
        <xdr:cNvSpPr txBox="1"/>
      </xdr:nvSpPr>
      <xdr:spPr>
        <a:xfrm>
          <a:off x="6190370" y="1405819"/>
          <a:ext cx="3130770" cy="100090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EV stations grew 139% year on year. Electricity consumption grew 176% — faster than infrastructure growth — suggesting stations are being used more intensively in 2023-24.</a:t>
          </a:r>
          <a:endParaRPr lang="en-GB" sz="1100" b="1">
            <a:solidFill>
              <a:schemeClr val="bg1"/>
            </a:solidFill>
          </a:endParaRPr>
        </a:p>
      </xdr:txBody>
    </xdr:sp>
    <xdr:clientData/>
  </xdr:twoCellAnchor>
  <xdr:twoCellAnchor>
    <xdr:from>
      <xdr:col>1</xdr:col>
      <xdr:colOff>630147</xdr:colOff>
      <xdr:row>7</xdr:row>
      <xdr:rowOff>3559</xdr:rowOff>
    </xdr:from>
    <xdr:to>
      <xdr:col>4</xdr:col>
      <xdr:colOff>809</xdr:colOff>
      <xdr:row>20</xdr:row>
      <xdr:rowOff>117778</xdr:rowOff>
    </xdr:to>
    <xdr:graphicFrame macro="">
      <xdr:nvGraphicFramePr>
        <xdr:cNvPr id="4" name="Chart 1">
          <a:extLst>
            <a:ext uri="{FF2B5EF4-FFF2-40B4-BE49-F238E27FC236}">
              <a16:creationId xmlns:a16="http://schemas.microsoft.com/office/drawing/2014/main" id="{897AC09D-C65A-4972-E924-2BB20A67C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705495</xdr:colOff>
      <xdr:row>2</xdr:row>
      <xdr:rowOff>166388</xdr:rowOff>
    </xdr:from>
    <xdr:to>
      <xdr:col>10</xdr:col>
      <xdr:colOff>300567</xdr:colOff>
      <xdr:row>16</xdr:row>
      <xdr:rowOff>69205</xdr:rowOff>
    </xdr:to>
    <xdr:graphicFrame macro="">
      <xdr:nvGraphicFramePr>
        <xdr:cNvPr id="2" name="Chart 1">
          <a:extLst>
            <a:ext uri="{FF2B5EF4-FFF2-40B4-BE49-F238E27FC236}">
              <a16:creationId xmlns:a16="http://schemas.microsoft.com/office/drawing/2014/main" id="{85489360-3D4C-B3BF-050A-CC468029F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704695</xdr:colOff>
      <xdr:row>16</xdr:row>
      <xdr:rowOff>193598</xdr:rowOff>
    </xdr:from>
    <xdr:to>
      <xdr:col>10</xdr:col>
      <xdr:colOff>178110</xdr:colOff>
      <xdr:row>27</xdr:row>
      <xdr:rowOff>77439</xdr:rowOff>
    </xdr:to>
    <xdr:sp macro="" textlink="">
      <xdr:nvSpPr>
        <xdr:cNvPr id="3" name="TextBox 2">
          <a:extLst>
            <a:ext uri="{FF2B5EF4-FFF2-40B4-BE49-F238E27FC236}">
              <a16:creationId xmlns:a16="http://schemas.microsoft.com/office/drawing/2014/main" id="{E7F28347-9013-9BFB-FDC9-627EE1B38C68}"/>
            </a:ext>
          </a:extLst>
        </xdr:cNvPr>
        <xdr:cNvSpPr txBox="1"/>
      </xdr:nvSpPr>
      <xdr:spPr>
        <a:xfrm>
          <a:off x="4599878" y="3415061"/>
          <a:ext cx="4445000" cy="209859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EV station count roughly doubled between FY 2022-23 and FY 2023-24 at every point in the year. Two sharp single-month spikes are visible : September 2022 and July-August 2023 suggesting infrastructure was added in large batches rather than continuously. Post-spike dips in later months may reflect reporting gaps rather than actual station closures. Overall trend is strongly upward.</a:t>
          </a:r>
        </a:p>
        <a:p>
          <a:endParaRPr lang="en-IN" sz="1100" b="1">
            <a:solidFill>
              <a:schemeClr val="bg1"/>
            </a:solidFill>
          </a:endParaRPr>
        </a:p>
        <a:p>
          <a:r>
            <a:rPr lang="en-IN" b="1">
              <a:solidFill>
                <a:schemeClr val="bg1"/>
              </a:solidFill>
            </a:rPr>
            <a:t>The numbers here are sums across all DISCOMs reporting that month — so if a new DISCOM joins and starts reporting mid-year, their stations get added to the total suddenly, which looks like a spike even if no new stations were actually built. This is a data limitation worth acknowledging explicitly</a:t>
          </a:r>
          <a:endParaRPr lang="en-GB" sz="11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551026</xdr:colOff>
      <xdr:row>20</xdr:row>
      <xdr:rowOff>4826</xdr:rowOff>
    </xdr:from>
    <xdr:to>
      <xdr:col>4</xdr:col>
      <xdr:colOff>0</xdr:colOff>
      <xdr:row>38</xdr:row>
      <xdr:rowOff>139915</xdr:rowOff>
    </xdr:to>
    <xdr:graphicFrame macro="">
      <xdr:nvGraphicFramePr>
        <xdr:cNvPr id="3" name="Chart 2">
          <a:extLst>
            <a:ext uri="{FF2B5EF4-FFF2-40B4-BE49-F238E27FC236}">
              <a16:creationId xmlns:a16="http://schemas.microsoft.com/office/drawing/2014/main" id="{2865FE84-F797-2743-9FA8-FEE3D76CC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549656</xdr:colOff>
      <xdr:row>10</xdr:row>
      <xdr:rowOff>74838</xdr:rowOff>
    </xdr:from>
    <xdr:to>
      <xdr:col>10</xdr:col>
      <xdr:colOff>571181</xdr:colOff>
      <xdr:row>16</xdr:row>
      <xdr:rowOff>171703</xdr:rowOff>
    </xdr:to>
    <xdr:sp macro="" textlink="">
      <xdr:nvSpPr>
        <xdr:cNvPr id="4" name="TextBox 3">
          <a:extLst>
            <a:ext uri="{FF2B5EF4-FFF2-40B4-BE49-F238E27FC236}">
              <a16:creationId xmlns:a16="http://schemas.microsoft.com/office/drawing/2014/main" id="{05711A65-803D-15DF-7A3D-BF3081EE48F8}"/>
            </a:ext>
          </a:extLst>
        </xdr:cNvPr>
        <xdr:cNvSpPr txBox="1"/>
      </xdr:nvSpPr>
      <xdr:spPr>
        <a:xfrm>
          <a:off x="9503156" y="2119538"/>
          <a:ext cx="4149025" cy="131606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Utilisation Index = total EV electricity consumed (kWh) ÷ total EV </a:t>
          </a:r>
          <a:r>
            <a:rPr lang="en-IN">
              <a:solidFill>
                <a:schemeClr val="bg1"/>
              </a:solidFill>
            </a:rPr>
            <a:t>station-months reported. HARYANA, RAJ and TN show highest utilisation — their stations are working hardest relative to their scale. MAH has the most infrastructure but lowest utilisation, suggesting supply is well ahead of demand there. High utilisation states are strongest candidates for expansion.</a:t>
          </a:r>
          <a:endParaRPr lang="en-GB" sz="1100">
            <a:solidFill>
              <a:schemeClr val="bg1"/>
            </a:solidFill>
          </a:endParaRPr>
        </a:p>
      </xdr:txBody>
    </xdr:sp>
    <xdr:clientData/>
  </xdr:twoCellAnchor>
  <xdr:twoCellAnchor>
    <xdr:from>
      <xdr:col>5</xdr:col>
      <xdr:colOff>562656</xdr:colOff>
      <xdr:row>17</xdr:row>
      <xdr:rowOff>62554</xdr:rowOff>
    </xdr:from>
    <xdr:to>
      <xdr:col>10</xdr:col>
      <xdr:colOff>503586</xdr:colOff>
      <xdr:row>23</xdr:row>
      <xdr:rowOff>203259</xdr:rowOff>
    </xdr:to>
    <xdr:sp macro="" textlink="">
      <xdr:nvSpPr>
        <xdr:cNvPr id="8" name="TextBox 7">
          <a:extLst>
            <a:ext uri="{FF2B5EF4-FFF2-40B4-BE49-F238E27FC236}">
              <a16:creationId xmlns:a16="http://schemas.microsoft.com/office/drawing/2014/main" id="{77893389-B34A-B5D3-797C-4FB5F7DFEB6C}"/>
            </a:ext>
          </a:extLst>
        </xdr:cNvPr>
        <xdr:cNvSpPr txBox="1"/>
      </xdr:nvSpPr>
      <xdr:spPr>
        <a:xfrm>
          <a:off x="9511726" y="3591973"/>
          <a:ext cx="4075813" cy="1381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States are tiered based on utilisation index thresholds: High (&gt;5,000 kWh/station-month) indicates severe demand pressure; Medium (1,000–5,000) indicates moderate pressure; Low (&lt;1,000) indicates supply is ahead of demand. Only 2 states fall in the High tier : HARYANA and RAJ  making them the clearest expansion priorities from a utilisation perspective alone. Note: JHARKHAND's Medium classification is unreliable due to minimal data reported."</a:t>
          </a:r>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axena" refreshedDate="46200.912309490741" createdVersion="8" refreshedVersion="8" minRefreshableVersion="3" recordCount="570" xr:uid="{284A2444-5B19-9F4E-B543-35A23D5A59E4}">
  <cacheSource type="worksheet">
    <worksheetSource name="Table1"/>
  </cacheSource>
  <cacheFields count="12">
    <cacheField name="Country" numFmtId="0">
      <sharedItems/>
    </cacheField>
    <cacheField name="financial_year" numFmtId="0">
      <sharedItems count="2">
        <s v="2023-24"/>
        <s v="2022-23"/>
      </sharedItems>
    </cacheField>
    <cacheField name="calendar_year" numFmtId="0">
      <sharedItems containsSemiMixedTypes="0" containsString="0" containsNumber="1" containsInteger="1" minValue="2022" maxValue="2023" count="2">
        <n v="2023"/>
        <n v="2022"/>
      </sharedItems>
    </cacheField>
    <cacheField name="calendar_month" numFmtId="0">
      <sharedItems containsSemiMixedTypes="0" containsString="0" containsNumber="1" containsInteger="1" minValue="1" maxValue="12" count="12">
        <n v="8"/>
        <n v="9"/>
        <n v="1"/>
        <n v="4"/>
        <n v="11"/>
        <n v="12"/>
        <n v="2"/>
        <n v="7"/>
        <n v="3"/>
        <n v="6"/>
        <n v="5"/>
        <n v="10"/>
      </sharedItems>
    </cacheField>
    <cacheField name="DISCOM" numFmtId="0">
      <sharedItems containsBlank="1"/>
    </cacheField>
    <cacheField name="State" numFmtId="0">
      <sharedItems count="18">
        <s v="KAR"/>
        <s v="AP"/>
        <s v="BIHAR"/>
        <s v="GUJ"/>
        <s v="DELHI"/>
        <s v="MP"/>
        <s v="TN"/>
        <s v="ORISSA"/>
        <s v="KER"/>
        <s v="JHARKHAND"/>
        <s v="WB"/>
        <s v="ASSAM"/>
        <s v="MAH"/>
        <s v="TNG"/>
        <s v="HARYANA"/>
        <s v="UP"/>
        <s v="RAJ"/>
        <s v="CHANDIGARH"/>
      </sharedItems>
    </cacheField>
    <cacheField name="city" numFmtId="0">
      <sharedItems containsBlank="1"/>
    </cacheField>
    <cacheField name="ev_stations" numFmtId="0">
      <sharedItems containsString="0" containsBlank="1" containsNumber="1" containsInteger="1" minValue="0" maxValue="2782"/>
    </cacheField>
    <cacheField name="hd_stations" numFmtId="0">
      <sharedItems containsString="0" containsBlank="1" containsNumber="1" containsInteger="1" minValue="0" maxValue="40"/>
    </cacheField>
    <cacheField name="ev_kwh" numFmtId="0">
      <sharedItems containsString="0" containsBlank="1" containsNumber="1" containsInteger="1" minValue="0" maxValue="5252080"/>
    </cacheField>
    <cacheField name="hd_kwh" numFmtId="0">
      <sharedItems containsString="0" containsBlank="1" containsNumber="1" containsInteger="1" minValue="0" maxValue="14014717"/>
    </cacheField>
    <cacheField name="total_mu" numFmtId="0">
      <sharedItems containsMixedTypes="1" containsNumber="1" minValue="0" maxValue="14.44100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
  <r>
    <s v="India"/>
    <x v="0"/>
    <x v="0"/>
    <x v="0"/>
    <s v="HESCOM"/>
    <x v="0"/>
    <s v="hubli"/>
    <n v="12"/>
    <n v="0"/>
    <n v="12807"/>
    <n v="0"/>
    <n v="1.2999999999999999E-2"/>
  </r>
  <r>
    <s v="India"/>
    <x v="0"/>
    <x v="0"/>
    <x v="1"/>
    <s v="HESCOM"/>
    <x v="0"/>
    <s v="hubli"/>
    <n v="22"/>
    <n v="0"/>
    <n v="11790"/>
    <n v="0"/>
    <n v="1.2E-2"/>
  </r>
  <r>
    <s v="India"/>
    <x v="0"/>
    <x v="0"/>
    <x v="1"/>
    <s v="APEPDCL"/>
    <x v="1"/>
    <s v="visakhapatnam, rajmahendravaram, west godavari, srikakulam, vizianagaram"/>
    <n v="70"/>
    <n v="0"/>
    <n v="22216"/>
    <n v="0"/>
    <n v="2.1999999999999999E-2"/>
  </r>
  <r>
    <s v="India"/>
    <x v="0"/>
    <x v="0"/>
    <x v="1"/>
    <s v="NBPDCL"/>
    <x v="2"/>
    <s v="patna"/>
    <n v="204"/>
    <n v="0"/>
    <n v="32693"/>
    <n v="0"/>
    <n v="3.3000000000000002E-2"/>
  </r>
  <r>
    <s v="India"/>
    <x v="0"/>
    <x v="0"/>
    <x v="1"/>
    <s v="GESCOM"/>
    <x v="0"/>
    <s v="kalaburgi"/>
    <n v="1"/>
    <n v="0"/>
    <n v="1498"/>
    <n v="0"/>
    <n v="1E-3"/>
  </r>
  <r>
    <s v="India"/>
    <x v="0"/>
    <x v="0"/>
    <x v="1"/>
    <s v="DGVCL"/>
    <x v="3"/>
    <s v="surat city, navsari, vapi-town, haldarva, bharuch east, kavadiya colony"/>
    <n v="53"/>
    <n v="13"/>
    <n v="48121"/>
    <n v="1615706"/>
    <n v="1.6639999999999999"/>
  </r>
  <r>
    <s v="India"/>
    <x v="0"/>
    <x v="0"/>
    <x v="1"/>
    <s v="APEPDCL"/>
    <x v="1"/>
    <s v="visakhapatnam, rajmahendravaram, west godavari, srikakulam, vizianagaram"/>
    <n v="70"/>
    <n v="0"/>
    <n v="22216"/>
    <n v="0"/>
    <n v="2.1999999999999999E-2"/>
  </r>
  <r>
    <s v="India"/>
    <x v="0"/>
    <x v="0"/>
    <x v="1"/>
    <s v="Tata Power-DDL"/>
    <x v="4"/>
    <s v="new delhi"/>
    <n v="639"/>
    <n v="5"/>
    <n v="3220000"/>
    <n v="810000"/>
    <n v="4.03"/>
  </r>
  <r>
    <s v="India"/>
    <x v="0"/>
    <x v="0"/>
    <x v="1"/>
    <s v="MPMKVVCL"/>
    <x v="5"/>
    <s v="bhopal city, gwalior city, betul, guna, harda, itarsi, narmadapuram, bareli, raisen, narsinghgarh, zeerapur, ashta, vidisha"/>
    <n v="97"/>
    <n v="1"/>
    <n v="25358"/>
    <n v="218128"/>
    <n v="0.24299999999999999"/>
  </r>
  <r>
    <s v="India"/>
    <x v="0"/>
    <x v="0"/>
    <x v="1"/>
    <s v="PGVCL"/>
    <x v="3"/>
    <s v="rajkot, surendranagar, junagadh, jamnagar, morbi, botad"/>
    <n v="25"/>
    <n v="3"/>
    <n v="61807"/>
    <n v="469488"/>
    <n v="0.53100000000000003"/>
  </r>
  <r>
    <s v="India"/>
    <x v="0"/>
    <x v="0"/>
    <x v="1"/>
    <s v="MESCOM"/>
    <x v="0"/>
    <s v="mangaluru, udupi, shivamogga, chikkamagaluru"/>
    <n v="67"/>
    <n v="2"/>
    <n v="5612"/>
    <n v="80109"/>
    <n v="8.5999999999999993E-2"/>
  </r>
  <r>
    <s v="India"/>
    <x v="0"/>
    <x v="0"/>
    <x v="1"/>
    <s v="APEPDCL"/>
    <x v="1"/>
    <s v="visakhapatnam, rajmahendravaram, west godavari, srikakulam, vizianagaram"/>
    <n v="70"/>
    <n v="0"/>
    <n v="22216"/>
    <n v="0"/>
    <n v="2.1999999999999999E-2"/>
  </r>
  <r>
    <s v="India"/>
    <x v="0"/>
    <x v="0"/>
    <x v="1"/>
    <s v="SBPDCL"/>
    <x v="2"/>
    <s v="patna"/>
    <n v="263"/>
    <n v="2"/>
    <n v="276586"/>
    <n v="218701"/>
    <n v="0.495"/>
  </r>
  <r>
    <s v="India"/>
    <x v="0"/>
    <x v="0"/>
    <x v="1"/>
    <s v="TANGEDCO"/>
    <x v="6"/>
    <s v="coimbatore, villupuram, tirunelveli, chennai north, vellore"/>
    <n v="138"/>
    <n v="0"/>
    <n v="690454"/>
    <n v="0"/>
    <n v="0.69"/>
  </r>
  <r>
    <s v="India"/>
    <x v="0"/>
    <x v="0"/>
    <x v="1"/>
    <s v="TPCODL"/>
    <x v="7"/>
    <s v="bhubaneswar, puri, khordha &amp; paradeep"/>
    <n v="17"/>
    <n v="0"/>
    <n v="3590"/>
    <n v="0"/>
    <n v="4.0000000000000001E-3"/>
  </r>
  <r>
    <s v="India"/>
    <x v="0"/>
    <x v="0"/>
    <x v="0"/>
    <s v="KSEB"/>
    <x v="8"/>
    <s v="thiruvananthapuram, ernakulam, kozhikode"/>
    <n v="276"/>
    <n v="5"/>
    <n v="144612"/>
    <n v="31300"/>
    <n v="0.17599999999999999"/>
  </r>
  <r>
    <s v="India"/>
    <x v="0"/>
    <x v="0"/>
    <x v="0"/>
    <s v="NBPDCL"/>
    <x v="2"/>
    <s v="patna"/>
    <n v="194"/>
    <n v="0"/>
    <n v="26893"/>
    <n v="0"/>
    <n v="2.7E-2"/>
  </r>
  <r>
    <s v="India"/>
    <x v="0"/>
    <x v="0"/>
    <x v="0"/>
    <s v="SBPDCL"/>
    <x v="2"/>
    <s v="patna"/>
    <n v="223"/>
    <n v="2"/>
    <n v="277174"/>
    <n v="225321"/>
    <n v="0.502"/>
  </r>
  <r>
    <s v="India"/>
    <x v="0"/>
    <x v="0"/>
    <x v="0"/>
    <s v="DVC"/>
    <x v="9"/>
    <s v="maithon, dhanbad"/>
    <m/>
    <n v="0"/>
    <n v="3590"/>
    <n v="0"/>
    <n v="0"/>
  </r>
  <r>
    <s v="India"/>
    <x v="0"/>
    <x v="0"/>
    <x v="0"/>
    <s v="CESC"/>
    <x v="10"/>
    <s v="kolkata"/>
    <n v="12"/>
    <n v="11"/>
    <n v="2098"/>
    <n v="244605"/>
    <n v="0.247"/>
  </r>
  <r>
    <s v="India"/>
    <x v="0"/>
    <x v="0"/>
    <x v="0"/>
    <s v="APDCL"/>
    <x v="11"/>
    <s v="badarpur, karimganj, kokrajhar, nagaon, silchar, guwahati, tezpur"/>
    <n v="99"/>
    <n v="9"/>
    <n v="221296"/>
    <n v="19714"/>
    <n v="0.24099999999999999"/>
  </r>
  <r>
    <s v="India"/>
    <x v="0"/>
    <x v="0"/>
    <x v="2"/>
    <s v="Brihan Mumbai Electric Supply Company (BEST)"/>
    <x v="12"/>
    <s v="mumbai (best)"/>
    <n v="17"/>
    <n v="10"/>
    <n v="37699"/>
    <n v="1656478"/>
    <n v="1.694"/>
  </r>
  <r>
    <s v="India"/>
    <x v="0"/>
    <x v="0"/>
    <x v="2"/>
    <s v="MESCOM"/>
    <x v="0"/>
    <s v="mangaluru, udupi, shivamogga, chikkamagaluru"/>
    <n v="63"/>
    <n v="0"/>
    <n v="5037"/>
    <n v="0"/>
    <n v="5.0000000000000001E-3"/>
  </r>
  <r>
    <s v="India"/>
    <x v="0"/>
    <x v="0"/>
    <x v="2"/>
    <s v="BYPL"/>
    <x v="4"/>
    <s v="new delhi"/>
    <n v="994"/>
    <n v="2"/>
    <n v="1761898"/>
    <n v="613200"/>
    <n v="2.375"/>
  </r>
  <r>
    <s v="India"/>
    <x v="0"/>
    <x v="0"/>
    <x v="2"/>
    <s v="UGVCL"/>
    <x v="3"/>
    <s v="hebatpur, bavla(ramnagar), fedra, dholasan, asal, modasa, majadar, nugar, rangpur"/>
    <n v="12"/>
    <n v="0"/>
    <n v="2767"/>
    <n v="0"/>
    <n v="3.0000000000000001E-3"/>
  </r>
  <r>
    <s v="India"/>
    <x v="0"/>
    <x v="0"/>
    <x v="2"/>
    <s v="APDCL"/>
    <x v="11"/>
    <s v="badarpur, karimganj, kokrajhar, nagaon, silchar, guwahati, tezpur"/>
    <n v="53"/>
    <n v="3"/>
    <n v="94498"/>
    <n v="27821"/>
    <n v="0.122"/>
  </r>
  <r>
    <s v="India"/>
    <x v="0"/>
    <x v="0"/>
    <x v="2"/>
    <s v="SBPDCL"/>
    <x v="2"/>
    <s v="patna"/>
    <n v="78"/>
    <n v="0"/>
    <n v="6000"/>
    <n v="0"/>
    <n v="6.0000000000000001E-3"/>
  </r>
  <r>
    <s v="India"/>
    <x v="0"/>
    <x v="0"/>
    <x v="2"/>
    <s v="Torrent Power"/>
    <x v="3"/>
    <s v="ahemdabad"/>
    <n v="10"/>
    <n v="6"/>
    <n v="4612"/>
    <n v="1452970"/>
    <n v="1.458"/>
  </r>
  <r>
    <s v="India"/>
    <x v="1"/>
    <x v="1"/>
    <x v="3"/>
    <s v="TANGEDCO"/>
    <x v="6"/>
    <s v="coimbatore, villupuram, tirunelveli, chennai north, vellore"/>
    <n v="30"/>
    <n v="0"/>
    <n v="53523"/>
    <n v="0"/>
    <n v="5.3999999999999999E-2"/>
  </r>
  <r>
    <s v="India"/>
    <x v="1"/>
    <x v="1"/>
    <x v="3"/>
    <s v="MSEDCL"/>
    <x v="12"/>
    <s v="navi mumbai, pune, thane, nagpur"/>
    <n v="48"/>
    <n v="4"/>
    <n v="1"/>
    <n v="133796"/>
    <n v="0.13400000000000001"/>
  </r>
  <r>
    <s v="India"/>
    <x v="1"/>
    <x v="1"/>
    <x v="3"/>
    <s v="APEPDCL"/>
    <x v="1"/>
    <s v="visakhapatnam, rajmahendravaram, west godavari, srikakulam, vizianagaram"/>
    <n v="33"/>
    <n v="0"/>
    <n v="6101"/>
    <n v="0"/>
    <n v="6.0000000000000001E-3"/>
  </r>
  <r>
    <s v="India"/>
    <x v="1"/>
    <x v="1"/>
    <x v="3"/>
    <s v="DGVCL"/>
    <x v="3"/>
    <s v="surat city, navsari, vapi-town, haldarva, bharuch east, kavadiya colony"/>
    <n v="6"/>
    <n v="1"/>
    <n v="11717"/>
    <n v="351820"/>
    <n v="0.36399999999999999"/>
  </r>
  <r>
    <s v="India"/>
    <x v="1"/>
    <x v="1"/>
    <x v="3"/>
    <s v="DVC"/>
    <x v="9"/>
    <s v="maithon, dhanbad"/>
    <n v="1"/>
    <n v="0"/>
    <n v="0"/>
    <n v="0"/>
    <n v="0"/>
  </r>
  <r>
    <s v="India"/>
    <x v="1"/>
    <x v="1"/>
    <x v="3"/>
    <s v="UGVCL"/>
    <x v="3"/>
    <s v="hebatpur, bavla(ramnagar), fedra, dholasan, asal, modasa, majadar, nugar, rangpur"/>
    <n v="2"/>
    <n v="0"/>
    <n v="1389"/>
    <n v="0"/>
    <n v="1E-3"/>
  </r>
  <r>
    <s v="India"/>
    <x v="1"/>
    <x v="1"/>
    <x v="3"/>
    <s v="APSPDCL"/>
    <x v="1"/>
    <s v="anantpur, kadapa, kurnool, nellore, tirupati"/>
    <n v="11"/>
    <n v="0"/>
    <n v="2059"/>
    <n v="0"/>
    <n v="2E-3"/>
  </r>
  <r>
    <s v="India"/>
    <x v="1"/>
    <x v="1"/>
    <x v="3"/>
    <s v="CESC"/>
    <x v="10"/>
    <s v="kolkata"/>
    <n v="5"/>
    <n v="11"/>
    <n v="311"/>
    <n v="271576"/>
    <n v="0.27200000000000002"/>
  </r>
  <r>
    <s v="India"/>
    <x v="1"/>
    <x v="1"/>
    <x v="3"/>
    <s v="TSNPDCL"/>
    <x v="13"/>
    <s v="adilabad, hanamkonda, kamareddy, karimnagar, khammam, mahabubabad, nirmal, nazimabad, pdeapally, warangal"/>
    <n v="0"/>
    <n v="0"/>
    <n v="0"/>
    <n v="0"/>
    <n v="0"/>
  </r>
  <r>
    <s v="India"/>
    <x v="1"/>
    <x v="1"/>
    <x v="3"/>
    <s v="APDCL"/>
    <x v="11"/>
    <s v="badarpur, karimganj, kokrajhar, nagaon, silchar, guwahati, tezpur"/>
    <n v="10"/>
    <n v="2"/>
    <n v="20226"/>
    <n v="28839"/>
    <n v="4.9000000000000002E-2"/>
  </r>
  <r>
    <s v="India"/>
    <x v="1"/>
    <x v="1"/>
    <x v="3"/>
    <s v="BYPL"/>
    <x v="4"/>
    <s v="new delhi"/>
    <n v="941"/>
    <n v="1"/>
    <n v="1366776"/>
    <n v="186150"/>
    <n v="1.5529999999999999"/>
  </r>
  <r>
    <s v="India"/>
    <x v="1"/>
    <x v="1"/>
    <x v="3"/>
    <s v="BRPL"/>
    <x v="4"/>
    <s v="new delhi"/>
    <n v="1143"/>
    <n v="1"/>
    <n v="2513071"/>
    <n v="3660"/>
    <n v="2.5169999999999999"/>
  </r>
  <r>
    <s v="India"/>
    <x v="1"/>
    <x v="1"/>
    <x v="3"/>
    <s v="Torrent Power"/>
    <x v="3"/>
    <s v="ahemdabad"/>
    <n v="7"/>
    <n v="4"/>
    <n v="15772"/>
    <n v="1481070"/>
    <n v="1.4970000000000001"/>
  </r>
  <r>
    <s v="India"/>
    <x v="1"/>
    <x v="1"/>
    <x v="3"/>
    <s v="Brihan Mumbai Electric Supply Company (BEST)"/>
    <x v="12"/>
    <s v="mumbai (best)"/>
    <n v="11"/>
    <n v="10"/>
    <n v="29890"/>
    <n v="1309720"/>
    <n v="1.34"/>
  </r>
  <r>
    <s v="India"/>
    <x v="1"/>
    <x v="1"/>
    <x v="3"/>
    <s v="UHBVN"/>
    <x v="14"/>
    <s v="panchkula, karnal, kaithal, sonipat"/>
    <n v="6"/>
    <n v="0"/>
    <n v="2498"/>
    <n v="0"/>
    <n v="2E-3"/>
  </r>
  <r>
    <s v="India"/>
    <x v="1"/>
    <x v="1"/>
    <x v="3"/>
    <s v="CESC Mysore"/>
    <x v="0"/>
    <s v="mysore, mandya, hassan, kodagu"/>
    <n v="8"/>
    <n v="0"/>
    <n v="90"/>
    <n v="0"/>
    <n v="0"/>
  </r>
  <r>
    <s v="India"/>
    <x v="1"/>
    <x v="1"/>
    <x v="3"/>
    <s v="KSEB"/>
    <x v="8"/>
    <s v="thiruvananthapuram, ernakulam, kozhikode"/>
    <n v="10"/>
    <n v="0"/>
    <n v="11526"/>
    <n v="0"/>
    <n v="1.2E-2"/>
  </r>
  <r>
    <s v="India"/>
    <x v="1"/>
    <x v="1"/>
    <x v="3"/>
    <s v="Tata Power-DDL"/>
    <x v="4"/>
    <s v="new delhi"/>
    <n v="463"/>
    <n v="1"/>
    <n v="2000000"/>
    <n v="50000"/>
    <n v="2.0499999999999998"/>
  </r>
  <r>
    <s v="India"/>
    <x v="1"/>
    <x v="1"/>
    <x v="3"/>
    <s v="TSSPDCL"/>
    <x v="13"/>
    <s v="hyderabad"/>
    <n v="7"/>
    <n v="0"/>
    <n v="1700"/>
    <n v="0"/>
    <n v="2E-3"/>
  </r>
  <r>
    <s v="India"/>
    <x v="1"/>
    <x v="1"/>
    <x v="3"/>
    <s v="PGVCL"/>
    <x v="3"/>
    <s v="rajkot, surendranagar, junagadh, jamnagar, morbi, botad"/>
    <n v="2"/>
    <n v="1"/>
    <n v="526"/>
    <n v="134140"/>
    <n v="0.13500000000000001"/>
  </r>
  <r>
    <s v="India"/>
    <x v="1"/>
    <x v="1"/>
    <x v="3"/>
    <s v="MESCOM"/>
    <x v="0"/>
    <s v="mangaluru, udupi, shivamogga, chikkamagaluru"/>
    <n v="0"/>
    <n v="0"/>
    <n v="0"/>
    <n v="0"/>
    <n v="0"/>
  </r>
  <r>
    <s v="India"/>
    <x v="0"/>
    <x v="0"/>
    <x v="3"/>
    <s v="Noida Power Company Ltd. (NPCL)"/>
    <x v="15"/>
    <s v="greater noida"/>
    <n v="3"/>
    <n v="0"/>
    <n v="117"/>
    <n v="0"/>
    <n v="0"/>
  </r>
  <r>
    <s v="India"/>
    <x v="0"/>
    <x v="0"/>
    <x v="3"/>
    <s v="JDVVNL"/>
    <x v="16"/>
    <s v="pali"/>
    <m/>
    <m/>
    <m/>
    <m/>
    <n v="0"/>
  </r>
  <r>
    <s v="India"/>
    <x v="0"/>
    <x v="0"/>
    <x v="3"/>
    <s v="TSNPDCL"/>
    <x v="13"/>
    <s v="adilabad, hanamkonda, kamareddy, karimnagar, khammam, mahabubabad, nirmal, nazimabad, pdeapally, warangal"/>
    <n v="32"/>
    <n v="0"/>
    <n v="8015"/>
    <n v="0"/>
    <n v="8.0000000000000002E-3"/>
  </r>
  <r>
    <s v="India"/>
    <x v="0"/>
    <x v="0"/>
    <x v="3"/>
    <s v="BRPL"/>
    <x v="4"/>
    <s v="new delhi"/>
    <n v="1666"/>
    <n v="1"/>
    <n v="4044558"/>
    <n v="864960"/>
    <n v="4.91"/>
  </r>
  <r>
    <s v="India"/>
    <x v="0"/>
    <x v="0"/>
    <x v="3"/>
    <s v="TANGEDCO"/>
    <x v="6"/>
    <s v="coimbatore, villupuram, tirunelveli, chennai north, vellore"/>
    <m/>
    <m/>
    <m/>
    <m/>
    <n v="0"/>
  </r>
  <r>
    <s v="India"/>
    <x v="0"/>
    <x v="0"/>
    <x v="3"/>
    <s v="AVVNL"/>
    <x v="16"/>
    <s v="ajmer"/>
    <n v="24"/>
    <n v="0"/>
    <n v="10674"/>
    <n v="0"/>
    <n v="1.0999999999999999E-2"/>
  </r>
  <r>
    <s v="India"/>
    <x v="0"/>
    <x v="0"/>
    <x v="3"/>
    <s v="KSEB"/>
    <x v="8"/>
    <s v="thiruvananthapuram, ernakulam, kozhikode"/>
    <n v="258"/>
    <n v="4"/>
    <n v="103348"/>
    <n v="29360"/>
    <n v="0.13300000000000001"/>
  </r>
  <r>
    <s v="India"/>
    <x v="0"/>
    <x v="0"/>
    <x v="3"/>
    <s v="NBPDCL"/>
    <x v="2"/>
    <s v="patna"/>
    <n v="107"/>
    <n v="0"/>
    <n v="9338"/>
    <n v="0"/>
    <n v="8.9999999999999993E-3"/>
  </r>
  <r>
    <s v="India"/>
    <x v="0"/>
    <x v="0"/>
    <x v="3"/>
    <s v="BYPL"/>
    <x v="4"/>
    <s v="new delhi"/>
    <n v="1024"/>
    <n v="2"/>
    <n v="2214653"/>
    <n v="823223"/>
    <n v="3.0379999999999998"/>
  </r>
  <r>
    <s v="India"/>
    <x v="0"/>
    <x v="0"/>
    <x v="3"/>
    <s v="SBPDCL"/>
    <x v="2"/>
    <s v="patna"/>
    <n v="103"/>
    <n v="2"/>
    <n v="142024"/>
    <n v="196093"/>
    <n v="0.33800000000000002"/>
  </r>
  <r>
    <s v="India"/>
    <x v="0"/>
    <x v="0"/>
    <x v="3"/>
    <s v="UHBVN"/>
    <x v="14"/>
    <s v="panchkula, karnal, kaithal, sonipat, ambala, kurukshetra"/>
    <n v="8"/>
    <n v="0"/>
    <n v="11948"/>
    <n v="0"/>
    <n v="1.2E-2"/>
  </r>
  <r>
    <s v="India"/>
    <x v="0"/>
    <x v="0"/>
    <x v="3"/>
    <s v="PGVCL"/>
    <x v="3"/>
    <s v="rajkot, surendranagar, junagadh, jamnagar, morbi, botad"/>
    <n v="19"/>
    <n v="3"/>
    <n v="14876"/>
    <n v="441657"/>
    <n v="0.45700000000000002"/>
  </r>
  <r>
    <s v="India"/>
    <x v="0"/>
    <x v="0"/>
    <x v="3"/>
    <s v="JVVNL"/>
    <x v="16"/>
    <s v="alwar, dausa, jcc, jpdc"/>
    <n v="130"/>
    <n v="7"/>
    <n v="298987"/>
    <n v="56387"/>
    <n v="0.35499999999999998"/>
  </r>
  <r>
    <s v="India"/>
    <x v="0"/>
    <x v="0"/>
    <x v="3"/>
    <s v="Torrent Power"/>
    <x v="3"/>
    <s v="ahemdabad"/>
    <n v="14"/>
    <n v="6"/>
    <n v="10699"/>
    <n v="1732732"/>
    <n v="1.7430000000000001"/>
  </r>
  <r>
    <s v="India"/>
    <x v="0"/>
    <x v="0"/>
    <x v="3"/>
    <s v="CESC Mysore"/>
    <x v="0"/>
    <s v="mysore, mandya, hassan, kodagu"/>
    <n v="20"/>
    <n v="3"/>
    <n v="6665"/>
    <n v="84995"/>
    <n v="9.1999999999999998E-2"/>
  </r>
  <r>
    <s v="India"/>
    <x v="0"/>
    <x v="0"/>
    <x v="3"/>
    <s v="DGVCL"/>
    <x v="3"/>
    <s v="surat city, navsari, vapi-town, haldarva, bharuch east, kavadiya colony"/>
    <n v="43"/>
    <n v="11"/>
    <n v="27102"/>
    <n v="1270038"/>
    <n v="1.2969999999999999"/>
  </r>
  <r>
    <s v="India"/>
    <x v="0"/>
    <x v="0"/>
    <x v="3"/>
    <s v="MESCOM"/>
    <x v="0"/>
    <s v="mangaluru, udupi, shivamogga, chikkamagaluru"/>
    <n v="64"/>
    <n v="0"/>
    <n v="7999"/>
    <n v="0"/>
    <n v="8.0000000000000002E-3"/>
  </r>
  <r>
    <s v="India"/>
    <x v="0"/>
    <x v="0"/>
    <x v="3"/>
    <s v="APDCL"/>
    <x v="11"/>
    <s v="badarpur, karimganj, kokrajhar, nagaon, silchar, guwahati, tezpur"/>
    <n v="77"/>
    <n v="4"/>
    <n v="131075"/>
    <n v="17800"/>
    <n v="0.14899999999999999"/>
  </r>
  <r>
    <s v="India"/>
    <x v="0"/>
    <x v="0"/>
    <x v="3"/>
    <s v="TPCODL"/>
    <x v="7"/>
    <s v="bhubaneswar, puri, khordha &amp; paradeep"/>
    <n v="15"/>
    <n v="0"/>
    <n v="1812"/>
    <n v="0"/>
    <n v="2E-3"/>
  </r>
  <r>
    <s v="India"/>
    <x v="0"/>
    <x v="0"/>
    <x v="3"/>
    <s v="HESCOM"/>
    <x v="0"/>
    <s v="hubli"/>
    <n v="6"/>
    <n v="2"/>
    <n v="2251"/>
    <n v="132"/>
    <n v="2E-3"/>
  </r>
  <r>
    <s v="India"/>
    <x v="0"/>
    <x v="0"/>
    <x v="3"/>
    <s v="CESC"/>
    <x v="10"/>
    <s v="kolkata"/>
    <n v="12"/>
    <n v="11"/>
    <n v="4288"/>
    <n v="228607"/>
    <n v="0.23300000000000001"/>
  </r>
  <r>
    <s v="India"/>
    <x v="0"/>
    <x v="0"/>
    <x v="3"/>
    <s v="UGVCL"/>
    <x v="3"/>
    <s v="hebatpur, bavla(ramnagar), fedra, dholasan, asal, modasa, majadar, nugar, rangpur"/>
    <n v="20"/>
    <n v="0"/>
    <n v="8187"/>
    <n v="0"/>
    <n v="8.0000000000000002E-3"/>
  </r>
  <r>
    <s v="India"/>
    <x v="0"/>
    <x v="0"/>
    <x v="3"/>
    <s v="GESCOM"/>
    <x v="0"/>
    <s v="kalaburgi"/>
    <m/>
    <m/>
    <m/>
    <m/>
    <n v="0"/>
  </r>
  <r>
    <s v="India"/>
    <x v="0"/>
    <x v="0"/>
    <x v="3"/>
    <s v="DHBVN"/>
    <x v="14"/>
    <s v="faridabad, gurugram, hisar, rewari, sirsa, narnaul, palwal"/>
    <n v="46"/>
    <n v="0"/>
    <n v="611819"/>
    <n v="0"/>
    <n v="0.61199999999999999"/>
  </r>
  <r>
    <s v="India"/>
    <x v="0"/>
    <x v="0"/>
    <x v="3"/>
    <m/>
    <x v="17"/>
    <s v="chandigarh"/>
    <n v="15"/>
    <n v="6"/>
    <n v="534"/>
    <n v="486706"/>
    <n v="0.48699999999999999"/>
  </r>
  <r>
    <s v="India"/>
    <x v="0"/>
    <x v="0"/>
    <x v="3"/>
    <s v="APEPDCL"/>
    <x v="1"/>
    <s v="visakhapatnam, rajmahendravaram, west godavari, srikakulam, vizianagaram"/>
    <n v="65"/>
    <n v="0"/>
    <n v="24563"/>
    <n v="0"/>
    <n v="2.5000000000000001E-2"/>
  </r>
  <r>
    <s v="India"/>
    <x v="0"/>
    <x v="0"/>
    <x v="3"/>
    <s v="APSPDCL"/>
    <x v="1"/>
    <s v="anantpur, kadapa, kurnool, nellore, tirupati"/>
    <n v="28"/>
    <n v="7"/>
    <n v="9087"/>
    <n v="609081"/>
    <n v="0.61799999999999999"/>
  </r>
  <r>
    <s v="India"/>
    <x v="0"/>
    <x v="0"/>
    <x v="3"/>
    <s v="DVC"/>
    <x v="9"/>
    <s v="maithon, dhanbad"/>
    <m/>
    <m/>
    <m/>
    <m/>
    <n v="0"/>
  </r>
  <r>
    <s v="India"/>
    <x v="0"/>
    <x v="0"/>
    <x v="3"/>
    <s v="Tata Power-DDL"/>
    <x v="4"/>
    <s v="new delhi"/>
    <n v="621"/>
    <n v="2"/>
    <n v="3120000"/>
    <n v="1490000"/>
    <n v="4.6100000000000003"/>
  </r>
  <r>
    <s v="India"/>
    <x v="0"/>
    <x v="0"/>
    <x v="3"/>
    <s v="Brihan Mumbai Electric Supply Company (BEST)"/>
    <x v="12"/>
    <s v="mumbai (best)"/>
    <n v="23"/>
    <n v="16"/>
    <n v="52676"/>
    <n v="1706136"/>
    <n v="1.7589999999999999"/>
  </r>
  <r>
    <s v="India"/>
    <x v="0"/>
    <x v="0"/>
    <x v="3"/>
    <s v="TSSPDCL"/>
    <x v="13"/>
    <s v="hyderabad"/>
    <n v="64"/>
    <n v="6"/>
    <n v="44000"/>
    <n v="172000"/>
    <n v="0.216"/>
  </r>
  <r>
    <s v="India"/>
    <x v="0"/>
    <x v="0"/>
    <x v="3"/>
    <s v="MSEDCL"/>
    <x v="12"/>
    <s v="navi mumbai, pune, thane, nagpur"/>
    <n v="2782"/>
    <n v="15"/>
    <n v="413578"/>
    <n v="6361689"/>
    <n v="6.7750000000000004"/>
  </r>
  <r>
    <s v="India"/>
    <x v="1"/>
    <x v="1"/>
    <x v="0"/>
    <s v="DGVCL"/>
    <x v="3"/>
    <s v="surat city, navsari, vapi-town, haldarva, bharuch east, kavadiya colony"/>
    <n v="7"/>
    <n v="1"/>
    <n v="15736"/>
    <n v="480420"/>
    <n v="0.496"/>
  </r>
  <r>
    <s v="India"/>
    <x v="1"/>
    <x v="1"/>
    <x v="0"/>
    <s v="CESC"/>
    <x v="10"/>
    <s v="kolkata"/>
    <n v="5"/>
    <n v="11"/>
    <n v="285"/>
    <n v="266072"/>
    <n v="0.26600000000000001"/>
  </r>
  <r>
    <s v="India"/>
    <x v="1"/>
    <x v="1"/>
    <x v="0"/>
    <s v="TANGEDCO"/>
    <x v="6"/>
    <s v="coimbatore, villupuram, tirunelveli, chennai north, vellore"/>
    <n v="37"/>
    <n v="0"/>
    <n v="42753"/>
    <n v="0"/>
    <n v="4.2999999999999997E-2"/>
  </r>
  <r>
    <s v="India"/>
    <x v="1"/>
    <x v="1"/>
    <x v="0"/>
    <s v="APEPDCL"/>
    <x v="1"/>
    <s v="visakhapatnam, rajmahendravaram, west godavari, srikakulam, vizianagaram"/>
    <n v="36"/>
    <n v="0"/>
    <n v="5339"/>
    <n v="0"/>
    <n v="5.0000000000000001E-3"/>
  </r>
  <r>
    <s v="India"/>
    <x v="1"/>
    <x v="1"/>
    <x v="0"/>
    <s v="MESCOM"/>
    <x v="0"/>
    <s v="mangaluru, udupi, shivamogga, chikkamagaluru"/>
    <n v="60"/>
    <n v="0"/>
    <n v="1372"/>
    <n v="0"/>
    <n v="1E-3"/>
  </r>
  <r>
    <s v="India"/>
    <x v="1"/>
    <x v="1"/>
    <x v="0"/>
    <s v="UGVCL"/>
    <x v="3"/>
    <s v="hebatpur, bavla(ramnagar), fedra, dholasan, asal, modasa, majadar, nugar, rangpur"/>
    <n v="6"/>
    <n v="0"/>
    <n v="1646"/>
    <n v="0"/>
    <n v="2E-3"/>
  </r>
  <r>
    <s v="India"/>
    <x v="1"/>
    <x v="1"/>
    <x v="0"/>
    <s v="APDCL"/>
    <x v="11"/>
    <s v="badarpur, karimganj, kokrajhar, nagaon, silchar, guwahati, tezpur"/>
    <n v="14"/>
    <n v="2"/>
    <n v="26156"/>
    <n v="24522"/>
    <n v="5.0999999999999997E-2"/>
  </r>
  <r>
    <s v="India"/>
    <x v="1"/>
    <x v="1"/>
    <x v="0"/>
    <s v="MSEDCL"/>
    <x v="12"/>
    <s v="navi mumbai, pune, thane, nagpur"/>
    <n v="48"/>
    <n v="4"/>
    <n v="2692"/>
    <n v="1121308"/>
    <n v="1.1240000000000001"/>
  </r>
  <r>
    <s v="India"/>
    <x v="1"/>
    <x v="1"/>
    <x v="0"/>
    <s v="CESC Mysore"/>
    <x v="0"/>
    <s v="mysore, mandya, hassan, kodagu"/>
    <n v="9"/>
    <n v="0"/>
    <n v="496"/>
    <n v="0"/>
    <n v="0"/>
  </r>
  <r>
    <s v="India"/>
    <x v="1"/>
    <x v="1"/>
    <x v="0"/>
    <s v="Torrent Power"/>
    <x v="3"/>
    <s v="ahemdabad"/>
    <n v="9"/>
    <n v="5"/>
    <n v="13829"/>
    <n v="1541055"/>
    <n v="1.5549999999999999"/>
  </r>
  <r>
    <s v="India"/>
    <x v="1"/>
    <x v="1"/>
    <x v="0"/>
    <s v="Brihan Mumbai Electric Supply Company (BEST)"/>
    <x v="12"/>
    <s v="mumbai (best)"/>
    <n v="11"/>
    <n v="10"/>
    <n v="29411"/>
    <n v="1232470"/>
    <n v="1.262"/>
  </r>
  <r>
    <s v="India"/>
    <x v="1"/>
    <x v="1"/>
    <x v="0"/>
    <s v="PGVCL"/>
    <x v="3"/>
    <s v="rajkot, surendranagar, junagadh, jamnagar, morbi, botad"/>
    <n v="6"/>
    <n v="1"/>
    <n v="2096"/>
    <n v="142720"/>
    <n v="0.14499999999999999"/>
  </r>
  <r>
    <s v="India"/>
    <x v="1"/>
    <x v="1"/>
    <x v="0"/>
    <s v="TSNPDCL"/>
    <x v="13"/>
    <s v="adilabad, hanamkonda, kamareddy, karimnagar, khammam, mahabubabad, nirmal, nazimabad, pdeapally, warangal"/>
    <n v="5"/>
    <n v="0"/>
    <n v="630"/>
    <n v="0"/>
    <n v="1E-3"/>
  </r>
  <r>
    <s v="India"/>
    <x v="1"/>
    <x v="1"/>
    <x v="0"/>
    <s v="KSEB"/>
    <x v="8"/>
    <s v="thiruvananthapuram, ernakulam, kozhikode"/>
    <n v="29"/>
    <n v="1"/>
    <n v="30583"/>
    <n v="0"/>
    <n v="3.1E-2"/>
  </r>
  <r>
    <s v="India"/>
    <x v="1"/>
    <x v="1"/>
    <x v="0"/>
    <s v="BRPL"/>
    <x v="4"/>
    <s v="new delhi"/>
    <n v="1320"/>
    <n v="1"/>
    <n v="3462684"/>
    <n v="705960"/>
    <n v="4.1689999999999996"/>
  </r>
  <r>
    <s v="India"/>
    <x v="1"/>
    <x v="1"/>
    <x v="0"/>
    <s v="APSPDCL"/>
    <x v="1"/>
    <s v="anantpur, kadapa, kurnool, nellore, tirupati"/>
    <n v="11"/>
    <n v="1"/>
    <n v="773"/>
    <n v="0"/>
    <n v="1E-3"/>
  </r>
  <r>
    <s v="India"/>
    <x v="1"/>
    <x v="1"/>
    <x v="0"/>
    <s v="Noida Power Company Ltd. (NPCL)"/>
    <x v="15"/>
    <s v="greater noida"/>
    <n v="1"/>
    <n v="0"/>
    <n v="2354"/>
    <n v="0"/>
    <n v="2E-3"/>
  </r>
  <r>
    <s v="India"/>
    <x v="1"/>
    <x v="1"/>
    <x v="0"/>
    <s v="UHBVN"/>
    <x v="14"/>
    <s v="panchkula, karnal, kaithal, sonipat"/>
    <n v="6"/>
    <n v="0"/>
    <n v="1009"/>
    <n v="0"/>
    <n v="1E-3"/>
  </r>
  <r>
    <s v="India"/>
    <x v="1"/>
    <x v="1"/>
    <x v="4"/>
    <s v="HESCOM"/>
    <x v="0"/>
    <m/>
    <n v="1"/>
    <n v="0"/>
    <n v="274"/>
    <n v="0"/>
    <n v="2.7E-4"/>
  </r>
  <r>
    <s v="India"/>
    <x v="1"/>
    <x v="1"/>
    <x v="0"/>
    <s v="DVC"/>
    <x v="9"/>
    <s v="maithon, dhanbad"/>
    <n v="1"/>
    <n v="0"/>
    <n v="0"/>
    <n v="0"/>
    <n v="0"/>
  </r>
  <r>
    <s v="India"/>
    <x v="1"/>
    <x v="1"/>
    <x v="0"/>
    <s v="Tata Power-DDL"/>
    <x v="4"/>
    <s v="new delhi"/>
    <n v="543"/>
    <n v="2"/>
    <n v="2410000"/>
    <n v="1060000"/>
    <n v="3.47"/>
  </r>
  <r>
    <s v="India"/>
    <x v="1"/>
    <x v="1"/>
    <x v="0"/>
    <s v="BYPL"/>
    <x v="4"/>
    <s v="new delhi"/>
    <n v="982"/>
    <n v="1"/>
    <n v="1691718"/>
    <n v="286170"/>
    <n v="1.978"/>
  </r>
  <r>
    <s v="India"/>
    <x v="1"/>
    <x v="1"/>
    <x v="0"/>
    <s v="TSSPDCL"/>
    <x v="13"/>
    <s v="hyderabad"/>
    <n v="27"/>
    <n v="2"/>
    <n v="12869"/>
    <n v="861"/>
    <n v="1.4E-2"/>
  </r>
  <r>
    <s v="India"/>
    <x v="0"/>
    <x v="0"/>
    <x v="0"/>
    <s v="UGVCL"/>
    <x v="3"/>
    <s v="surat city, navsari, vapi-town, haldarva, bharuch east, kavadiya colony"/>
    <n v="52"/>
    <n v="12"/>
    <n v="35136"/>
    <n v="1497936"/>
    <n v="1.5329999999999999"/>
  </r>
  <r>
    <s v="India"/>
    <x v="0"/>
    <x v="0"/>
    <x v="0"/>
    <s v="MPMKVVCL"/>
    <x v="5"/>
    <s v="bhopal city, gwalior city, betul, guna, harda, itarsi, narmadapuram, bareli, raisen, narsinghgarh, zeerapur, ashta, vidisha"/>
    <n v="92"/>
    <n v="1"/>
    <n v="21720"/>
    <n v="181266"/>
    <n v="0.20300000000000001"/>
  </r>
  <r>
    <s v="India"/>
    <x v="0"/>
    <x v="0"/>
    <x v="0"/>
    <s v="MSEDCL"/>
    <x v="12"/>
    <m/>
    <n v="2782"/>
    <n v="17"/>
    <n v="652263"/>
    <n v="7178071"/>
    <n v="7.83"/>
  </r>
  <r>
    <s v="India"/>
    <x v="0"/>
    <x v="0"/>
    <x v="0"/>
    <s v="PGVCL"/>
    <x v="3"/>
    <s v="rajkot, surendranagar, junagadh, jamnagar, morbi, botad"/>
    <n v="28"/>
    <n v="3"/>
    <n v="24253"/>
    <n v="313184"/>
    <n v="0.33700000000000002"/>
  </r>
  <r>
    <s v="India"/>
    <x v="0"/>
    <x v="0"/>
    <x v="0"/>
    <s v="MESCOM"/>
    <x v="0"/>
    <s v="mangaluru, udupi, shivamogga, chikkamagaluru"/>
    <n v="67"/>
    <n v="2"/>
    <n v="19805"/>
    <n v="100752"/>
    <n v="0.121"/>
  </r>
  <r>
    <s v="India"/>
    <x v="0"/>
    <x v="0"/>
    <x v="0"/>
    <s v="APEPDCL"/>
    <x v="1"/>
    <s v="visakhapatnam, rajmahendravaram, west godavari, srikakulam, vizianagaram"/>
    <n v="70"/>
    <n v="0"/>
    <n v="38473"/>
    <n v="0"/>
    <n v="3.7999999999999999E-2"/>
  </r>
  <r>
    <s v="India"/>
    <x v="0"/>
    <x v="0"/>
    <x v="0"/>
    <s v="TSNPDCL"/>
    <x v="13"/>
    <s v="adilabad, hanamkonda, kamareddy, karimnagar, khammam, mahabubabad, nirmal, nazimabad, pdeapally, warangal"/>
    <n v="33"/>
    <n v="0"/>
    <n v="8714"/>
    <n v="0"/>
    <n v="8.9999999999999993E-3"/>
  </r>
  <r>
    <s v="India"/>
    <x v="0"/>
    <x v="0"/>
    <x v="0"/>
    <s v="KSEB"/>
    <x v="8"/>
    <s v="thiruvananthapuram, ernakulam, kozhikode"/>
    <n v="276"/>
    <n v="5"/>
    <n v="144612"/>
    <n v="31300"/>
    <n v="0.17599999999999999"/>
  </r>
  <r>
    <s v="India"/>
    <x v="0"/>
    <x v="0"/>
    <x v="0"/>
    <s v="APDCL"/>
    <x v="11"/>
    <s v="badarpur, karimganj, kokrajhar, nagaon, silchar, guwahati, tezpur"/>
    <n v="99"/>
    <n v="9"/>
    <n v="221296"/>
    <n v="19714"/>
    <n v="0.24099999999999999"/>
  </r>
  <r>
    <s v="India"/>
    <x v="0"/>
    <x v="0"/>
    <x v="0"/>
    <s v="UGVCL"/>
    <x v="3"/>
    <s v="hebatpur, bavla (ramnagar), fedra, dholasan, asal, modasa, majadar, nugar"/>
    <n v="27"/>
    <n v="0"/>
    <n v="14916"/>
    <n v="0"/>
    <n v="1.4999999999999999E-2"/>
  </r>
  <r>
    <s v="India"/>
    <x v="0"/>
    <x v="0"/>
    <x v="0"/>
    <s v="Noida Power Company Ltd. (NPCL)"/>
    <x v="15"/>
    <s v="greater noida"/>
    <n v="3"/>
    <n v="0"/>
    <n v="2163"/>
    <n v="0"/>
    <n v="2E-3"/>
  </r>
  <r>
    <s v="India"/>
    <x v="0"/>
    <x v="0"/>
    <x v="0"/>
    <s v="DGVCL"/>
    <x v="3"/>
    <s v="surat city, navsari, vapi-town, haldarva, bharuch east, kavadiya colony"/>
    <n v="52"/>
    <n v="12"/>
    <n v="35136"/>
    <n v="1497936"/>
    <n v="1.5329999999999999"/>
  </r>
  <r>
    <s v="India"/>
    <x v="0"/>
    <x v="0"/>
    <x v="0"/>
    <s v="APEPDCL"/>
    <x v="1"/>
    <s v="visakhapatnam, rajmahendravaram, west godavari, srikakulam, vizianagaram"/>
    <n v="70"/>
    <n v="0"/>
    <n v="38473"/>
    <n v="0"/>
    <n v="3.7999999999999999E-2"/>
  </r>
  <r>
    <s v="India"/>
    <x v="0"/>
    <x v="0"/>
    <x v="0"/>
    <s v="Tata Power-DDL"/>
    <x v="4"/>
    <s v="new delhi"/>
    <n v="639"/>
    <n v="3"/>
    <n v="2610000"/>
    <n v="1580000"/>
    <n v="4.1900000000000004"/>
  </r>
  <r>
    <s v="India"/>
    <x v="0"/>
    <x v="0"/>
    <x v="0"/>
    <s v="MPMKVVCL"/>
    <x v="5"/>
    <s v="bhopal city, gwalior city, betul, guna, harda, itarsi, narmadapuram, bareli, raisen, narsinghgarh, zeerapur, ashta, vidisha"/>
    <n v="92"/>
    <n v="1"/>
    <n v="21720"/>
    <n v="181266"/>
    <n v="0.20300000000000001"/>
  </r>
  <r>
    <s v="India"/>
    <x v="0"/>
    <x v="0"/>
    <x v="0"/>
    <s v="PGVCL"/>
    <x v="3"/>
    <s v="rajkot, surendranagar, junagadh, jamnagar, morbi, botad"/>
    <n v="25"/>
    <n v="3"/>
    <n v="24269"/>
    <n v="313184"/>
    <n v="0.33700000000000002"/>
  </r>
  <r>
    <s v="India"/>
    <x v="0"/>
    <x v="0"/>
    <x v="0"/>
    <s v="MESCOM"/>
    <x v="0"/>
    <s v="mangaluru, udupi, shivamogga, chikkamagaluru"/>
    <n v="67"/>
    <n v="2"/>
    <n v="19805"/>
    <n v="100752"/>
    <n v="0.121"/>
  </r>
  <r>
    <s v="India"/>
    <x v="0"/>
    <x v="0"/>
    <x v="0"/>
    <s v="APEPDCL"/>
    <x v="1"/>
    <s v="visakhapatnam, rajmahendravaram, west godavari, srikakulam, vizianagaram"/>
    <n v="70"/>
    <n v="0"/>
    <n v="38473"/>
    <n v="0"/>
    <n v="3.7999999999999999E-2"/>
  </r>
  <r>
    <s v="India"/>
    <x v="0"/>
    <x v="0"/>
    <x v="0"/>
    <s v="TANGEDCO"/>
    <x v="6"/>
    <s v="coimbatore, villupuram, tirunelveli, chennai north, vellore"/>
    <n v="123"/>
    <n v="0"/>
    <n v="593509"/>
    <n v="0"/>
    <n v="0.59399999999999997"/>
  </r>
  <r>
    <s v="India"/>
    <x v="0"/>
    <x v="0"/>
    <x v="0"/>
    <s v="TPCODL"/>
    <x v="7"/>
    <s v="bhubaneswar, puri, khordha &amp; paradeep"/>
    <n v="17"/>
    <n v="0"/>
    <n v="3335"/>
    <n v="0"/>
    <n v="3.0000000000000001E-3"/>
  </r>
  <r>
    <s v="India"/>
    <x v="0"/>
    <x v="0"/>
    <x v="0"/>
    <s v="APDCL"/>
    <x v="11"/>
    <s v="badarpur, karimganj, kokrajhar, nagaon, silchar, guwahati, tezpur"/>
    <n v="99"/>
    <n v="9"/>
    <n v="221296"/>
    <n v="19714"/>
    <n v="0.24099999999999999"/>
  </r>
  <r>
    <s v="India"/>
    <x v="0"/>
    <x v="0"/>
    <x v="0"/>
    <s v="Tata Power-DDL"/>
    <x v="4"/>
    <s v="new delhi"/>
    <n v="639"/>
    <n v="3"/>
    <n v="2610000"/>
    <n v="1580000"/>
    <n v="4.1900000000000004"/>
  </r>
  <r>
    <s v="India"/>
    <x v="0"/>
    <x v="0"/>
    <x v="0"/>
    <s v="BRPL"/>
    <x v="4"/>
    <s v="new delhi"/>
    <n v="1846"/>
    <n v="3"/>
    <n v="5237277"/>
    <n v="2914680"/>
    <n v="8.1519999999999992"/>
  </r>
  <r>
    <s v="India"/>
    <x v="0"/>
    <x v="0"/>
    <x v="0"/>
    <s v="BYPL"/>
    <x v="4"/>
    <s v="new delhi"/>
    <n v="1200"/>
    <n v="2"/>
    <n v="2698760"/>
    <n v="996120"/>
    <n v="3.6949999999999998"/>
  </r>
  <r>
    <s v="India"/>
    <x v="0"/>
    <x v="0"/>
    <x v="0"/>
    <s v="JVVNL"/>
    <x v="16"/>
    <s v="alwar, dausa, jcc, jpdc"/>
    <n v="172"/>
    <n v="11"/>
    <n v="430496"/>
    <n v="83625"/>
    <n v="0.51400000000000001"/>
  </r>
  <r>
    <s v="India"/>
    <x v="0"/>
    <x v="0"/>
    <x v="0"/>
    <s v="JDVVNL"/>
    <x v="16"/>
    <s v="pali"/>
    <m/>
    <n v="11"/>
    <n v="430496"/>
    <n v="83625"/>
    <n v="0.51412100000000005"/>
  </r>
  <r>
    <s v="India"/>
    <x v="0"/>
    <x v="0"/>
    <x v="0"/>
    <s v="AVVNL"/>
    <x v="16"/>
    <s v="ajmer"/>
    <n v="34"/>
    <n v="0"/>
    <n v="17127"/>
    <n v="0"/>
    <n v="1.7000000000000001E-2"/>
  </r>
  <r>
    <s v="India"/>
    <x v="0"/>
    <x v="0"/>
    <x v="0"/>
    <s v="UHBVN"/>
    <x v="14"/>
    <s v="panchkula, karnal, kaithal, sonipat, ambala, kurukshetra"/>
    <n v="15"/>
    <n v="0"/>
    <n v="15344"/>
    <n v="0"/>
    <n v="1.4999999999999999E-2"/>
  </r>
  <r>
    <s v="India"/>
    <x v="0"/>
    <x v="0"/>
    <x v="0"/>
    <s v="DHBVN"/>
    <x v="14"/>
    <s v="faridabad, gurugram, hisar, rewari, sirsa, narnaul, palwal"/>
    <n v="64"/>
    <n v="0"/>
    <n v="1058482"/>
    <n v="0"/>
    <n v="1.0580000000000001"/>
  </r>
  <r>
    <s v="India"/>
    <x v="0"/>
    <x v="0"/>
    <x v="0"/>
    <m/>
    <x v="17"/>
    <s v="chandigarh"/>
    <n v="21"/>
    <n v="6"/>
    <n v="26836"/>
    <n v="606530"/>
    <n v="0.63300000000000001"/>
  </r>
  <r>
    <s v="India"/>
    <x v="0"/>
    <x v="0"/>
    <x v="0"/>
    <s v="MSEDCL"/>
    <x v="12"/>
    <s v="navi mumbai, pune, thane, nagpur"/>
    <n v="2782"/>
    <n v="17"/>
    <n v="652263"/>
    <n v="7178071"/>
    <n v="7.83"/>
  </r>
  <r>
    <s v="India"/>
    <x v="0"/>
    <x v="0"/>
    <x v="0"/>
    <s v="Brihan Mumbai Electric Supply Company (BEST)"/>
    <x v="12"/>
    <s v="mumbai (best)"/>
    <n v="46"/>
    <n v="34"/>
    <n v="223432"/>
    <n v="1843499"/>
    <n v="2.0670000000000002"/>
  </r>
  <r>
    <s v="India"/>
    <x v="0"/>
    <x v="0"/>
    <x v="0"/>
    <s v="UGVCL"/>
    <x v="3"/>
    <s v="hebatpur, bavla (ramnagar), fedra, dholasan, asal, modasa, majadar, nugar, rangpur"/>
    <n v="27"/>
    <n v="0"/>
    <n v="14916"/>
    <n v="0"/>
    <n v="1.4999999999999999E-2"/>
  </r>
  <r>
    <s v="India"/>
    <x v="0"/>
    <x v="0"/>
    <x v="0"/>
    <s v="PGVCL"/>
    <x v="3"/>
    <s v="rajkot, surendranagar, junagadh, jamnagar, morbi, botad"/>
    <n v="25"/>
    <n v="3"/>
    <n v="24269"/>
    <n v="313184"/>
    <n v="0.33700000000000002"/>
  </r>
  <r>
    <s v="India"/>
    <x v="0"/>
    <x v="0"/>
    <x v="0"/>
    <s v="Torrent Power"/>
    <x v="3"/>
    <s v="ahemdabad"/>
    <n v="27"/>
    <n v="7"/>
    <n v="13101"/>
    <n v="1764649"/>
    <n v="1.778"/>
  </r>
  <r>
    <s v="India"/>
    <x v="0"/>
    <x v="0"/>
    <x v="0"/>
    <s v="CESC Mysore"/>
    <x v="0"/>
    <s v="mysore, mandya, hassan, kodagu"/>
    <n v="21"/>
    <n v="3"/>
    <n v="10112"/>
    <n v="197518"/>
    <n v="0.20799999999999999"/>
  </r>
  <r>
    <s v="India"/>
    <x v="0"/>
    <x v="0"/>
    <x v="0"/>
    <s v="MESCOM"/>
    <x v="0"/>
    <s v="mangaluru, udupi, shivamogga, chikkamagaluru"/>
    <n v="67"/>
    <n v="2"/>
    <n v="19805"/>
    <n v="100752"/>
    <n v="0.121"/>
  </r>
  <r>
    <s v="India"/>
    <x v="0"/>
    <x v="0"/>
    <x v="0"/>
    <s v="GESCOM"/>
    <x v="0"/>
    <s v="kalaburgi"/>
    <n v="1"/>
    <n v="0"/>
    <n v="1619"/>
    <n v="0"/>
    <n v="2E-3"/>
  </r>
  <r>
    <s v="India"/>
    <x v="0"/>
    <x v="0"/>
    <x v="0"/>
    <s v="BESCOM"/>
    <x v="0"/>
    <s v="bangalore, davangere, chitradurga, tumkuru, kolar"/>
    <n v="288"/>
    <n v="0"/>
    <n v="235992"/>
    <n v="0"/>
    <n v="0.23599999999999999"/>
  </r>
  <r>
    <s v="India"/>
    <x v="0"/>
    <x v="0"/>
    <x v="0"/>
    <s v="APEPDCL"/>
    <x v="1"/>
    <s v="visakhapatnam, rajmahendravaram, west godavari, srikakulam, vizianagaram"/>
    <n v="70"/>
    <n v="0"/>
    <n v="38473"/>
    <n v="0"/>
    <n v="3.7999999999999999E-2"/>
  </r>
  <r>
    <s v="India"/>
    <x v="0"/>
    <x v="0"/>
    <x v="0"/>
    <s v="APSPDCL"/>
    <x v="1"/>
    <s v="anantpur, kadapa, kurnool, nellore, tirupati"/>
    <n v="30"/>
    <n v="8"/>
    <n v="11272"/>
    <n v="976561"/>
    <n v="0.98799999999999999"/>
  </r>
  <r>
    <s v="India"/>
    <x v="0"/>
    <x v="0"/>
    <x v="0"/>
    <s v="TSSPDCL"/>
    <x v="13"/>
    <s v="hyderabad"/>
    <n v="106"/>
    <n v="9"/>
    <n v="90000"/>
    <n v="320000"/>
    <n v="0.41"/>
  </r>
  <r>
    <s v="India"/>
    <x v="0"/>
    <x v="0"/>
    <x v="0"/>
    <s v="TSNPDCL"/>
    <x v="13"/>
    <s v="adilabad, hanamkonda, kamareddy, karimnagar, khammam, mahabubabad, nirmal, nazimabad, pdeapally, warangal"/>
    <n v="33"/>
    <n v="0"/>
    <n v="8714"/>
    <n v="0"/>
    <n v="8.9999999999999993E-3"/>
  </r>
  <r>
    <s v="India"/>
    <x v="1"/>
    <x v="1"/>
    <x v="5"/>
    <s v="SBPDCL"/>
    <x v="2"/>
    <s v="patna"/>
    <n v="43"/>
    <n v="0"/>
    <n v="2042"/>
    <n v="0"/>
    <n v="2E-3"/>
  </r>
  <r>
    <s v="India"/>
    <x v="1"/>
    <x v="1"/>
    <x v="5"/>
    <s v="Tata Power-DDL"/>
    <x v="4"/>
    <s v="new delhi"/>
    <n v="590"/>
    <n v="2"/>
    <n v="2810000"/>
    <n v="930000"/>
    <n v="3.74"/>
  </r>
  <r>
    <s v="India"/>
    <x v="1"/>
    <x v="1"/>
    <x v="5"/>
    <s v="Noida Power Company Ltd. (NPCL)"/>
    <x v="15"/>
    <s v="greater noida"/>
    <n v="1"/>
    <n v="0"/>
    <n v="1643"/>
    <n v="0"/>
    <n v="2E-3"/>
  </r>
  <r>
    <s v="India"/>
    <x v="1"/>
    <x v="1"/>
    <x v="5"/>
    <s v="APSPDCL"/>
    <x v="1"/>
    <s v="anantpur, kadapa, kurnool, nellore, tirupati"/>
    <n v="23"/>
    <n v="7"/>
    <n v="3374"/>
    <n v="100200"/>
    <n v="0.104"/>
  </r>
  <r>
    <s v="India"/>
    <x v="1"/>
    <x v="1"/>
    <x v="5"/>
    <s v="MSEDCL"/>
    <x v="12"/>
    <s v="navi mumbai, pune, thane, nagpur"/>
    <n v="2583"/>
    <n v="13"/>
    <n v="173818"/>
    <n v="6071647"/>
    <n v="6.2450000000000001"/>
  </r>
  <r>
    <s v="India"/>
    <x v="1"/>
    <x v="1"/>
    <x v="5"/>
    <s v="BYPL"/>
    <x v="4"/>
    <s v="new delhi"/>
    <n v="991"/>
    <n v="2"/>
    <n v="2059982"/>
    <n v="498330"/>
    <n v="2.5579999999999998"/>
  </r>
  <r>
    <s v="India"/>
    <x v="1"/>
    <x v="1"/>
    <x v="5"/>
    <s v="KSEB"/>
    <x v="8"/>
    <s v="thiruvananthapuram, ernakulam, kozhikode"/>
    <n v="117"/>
    <n v="4"/>
    <n v="42403"/>
    <n v="41428"/>
    <n v="8.4000000000000005E-2"/>
  </r>
  <r>
    <s v="India"/>
    <x v="1"/>
    <x v="1"/>
    <x v="5"/>
    <s v="TSNPDCL"/>
    <x v="13"/>
    <s v="adilabad, hanamkonda, kamareddy, karimnagar, khammam, mahabubabad, nirmal, nazimabad, pdeapally, warangal"/>
    <n v="20"/>
    <n v="0"/>
    <n v="3329"/>
    <n v="0"/>
    <n v="3.0000000000000001E-3"/>
  </r>
  <r>
    <s v="India"/>
    <x v="1"/>
    <x v="1"/>
    <x v="5"/>
    <s v="PGVCL"/>
    <x v="3"/>
    <s v="rajkot, surendranagar, junagadh, jamnagar, morbi, botad"/>
    <n v="11"/>
    <n v="3"/>
    <n v="20125"/>
    <n v="267965"/>
    <n v="0.28799999999999998"/>
  </r>
  <r>
    <s v="India"/>
    <x v="1"/>
    <x v="1"/>
    <x v="5"/>
    <s v="Brihan Mumbai Electric Supply Company (BEST)"/>
    <x v="12"/>
    <s v="mumbai (best)"/>
    <n v="14"/>
    <n v="10"/>
    <n v="33360"/>
    <n v="1510237"/>
    <n v="1.544"/>
  </r>
  <r>
    <s v="India"/>
    <x v="1"/>
    <x v="1"/>
    <x v="5"/>
    <s v="APEPDCL"/>
    <x v="1"/>
    <s v="visakhapatnam, rajmahendravaram, west godavari, srikakulam, vizianagaram"/>
    <n v="50"/>
    <n v="0"/>
    <n v="10522"/>
    <n v="0"/>
    <n v="1.0999999999999999E-2"/>
  </r>
  <r>
    <s v="India"/>
    <x v="1"/>
    <x v="1"/>
    <x v="5"/>
    <s v="Torrent Power"/>
    <x v="3"/>
    <s v="ahemdabad"/>
    <n v="10"/>
    <n v="6"/>
    <n v="6544"/>
    <n v="1505784"/>
    <n v="1.512"/>
  </r>
  <r>
    <s v="India"/>
    <x v="1"/>
    <x v="1"/>
    <x v="5"/>
    <s v="TSSPDCL"/>
    <x v="13"/>
    <s v="hyderabad"/>
    <n v="36"/>
    <n v="5"/>
    <n v="30221"/>
    <n v="21393"/>
    <n v="5.1999999999999998E-2"/>
  </r>
  <r>
    <s v="India"/>
    <x v="1"/>
    <x v="1"/>
    <x v="5"/>
    <s v="APDCL"/>
    <x v="11"/>
    <s v="badarpur, karimganj, kokrajhar, nagaon, silchar, guwahati, tezpur"/>
    <n v="44"/>
    <n v="3"/>
    <n v="92583"/>
    <n v="26569"/>
    <n v="0.11899999999999999"/>
  </r>
  <r>
    <s v="India"/>
    <x v="1"/>
    <x v="1"/>
    <x v="5"/>
    <s v="UGVCL"/>
    <x v="3"/>
    <s v="hebatpur, bavla(ramnagar), fedra, dholasan, asal, modasa, majadar, nugar, rangpur"/>
    <n v="10"/>
    <n v="0"/>
    <n v="2036"/>
    <n v="0"/>
    <n v="2E-3"/>
  </r>
  <r>
    <s v="India"/>
    <x v="1"/>
    <x v="1"/>
    <x v="5"/>
    <s v="HESCOM"/>
    <x v="0"/>
    <m/>
    <n v="2"/>
    <n v="0"/>
    <n v="2492"/>
    <n v="0"/>
    <n v="2.49E-3"/>
  </r>
  <r>
    <s v="India"/>
    <x v="1"/>
    <x v="1"/>
    <x v="5"/>
    <s v="AVVNL"/>
    <x v="16"/>
    <s v="ajmer"/>
    <n v="16"/>
    <n v="0"/>
    <n v="28843"/>
    <n v="0"/>
    <n v="2.9000000000000001E-2"/>
  </r>
  <r>
    <s v="India"/>
    <x v="1"/>
    <x v="1"/>
    <x v="5"/>
    <s v="NBPDCL"/>
    <x v="2"/>
    <s v="patna"/>
    <n v="43"/>
    <n v="0"/>
    <n v="2042"/>
    <n v="0"/>
    <n v="2E-3"/>
  </r>
  <r>
    <s v="India"/>
    <x v="1"/>
    <x v="1"/>
    <x v="5"/>
    <s v="UHBVN"/>
    <x v="14"/>
    <s v="panchkula, karnal, kaithal, sonipat"/>
    <n v="8"/>
    <n v="0"/>
    <n v="12014"/>
    <n v="0"/>
    <n v="1.2E-2"/>
  </r>
  <r>
    <s v="India"/>
    <x v="1"/>
    <x v="1"/>
    <x v="5"/>
    <s v="BRPL"/>
    <x v="4"/>
    <s v="new delhi"/>
    <n v="1505"/>
    <n v="1"/>
    <n v="3624266"/>
    <n v="673740"/>
    <n v="4.298"/>
  </r>
  <r>
    <s v="India"/>
    <x v="1"/>
    <x v="1"/>
    <x v="5"/>
    <s v="CESC"/>
    <x v="10"/>
    <s v="kolkata"/>
    <n v="5"/>
    <n v="11"/>
    <n v="300"/>
    <n v="216031"/>
    <n v="0.216"/>
  </r>
  <r>
    <s v="India"/>
    <x v="1"/>
    <x v="1"/>
    <x v="5"/>
    <s v="MESCOM"/>
    <x v="0"/>
    <s v="mangaluru, udupi, shivamogga, chikkamagaluru"/>
    <n v="63"/>
    <n v="0"/>
    <n v="3922"/>
    <n v="0"/>
    <n v="4.0000000000000001E-3"/>
  </r>
  <r>
    <s v="India"/>
    <x v="1"/>
    <x v="1"/>
    <x v="5"/>
    <s v="CESC Mysore"/>
    <x v="0"/>
    <s v="mysore, mandya, hassan, kodagu"/>
    <n v="17"/>
    <n v="0"/>
    <n v="1172"/>
    <n v="0"/>
    <n v="1E-3"/>
  </r>
  <r>
    <s v="India"/>
    <x v="0"/>
    <x v="0"/>
    <x v="6"/>
    <s v="HESCOM"/>
    <x v="0"/>
    <m/>
    <n v="4"/>
    <n v="0"/>
    <n v="2713"/>
    <n v="0"/>
    <n v="2.7100000000000002E-3"/>
  </r>
  <r>
    <s v="India"/>
    <x v="0"/>
    <x v="0"/>
    <x v="6"/>
    <s v="Tata Power-DDL"/>
    <x v="4"/>
    <s v="new delhi"/>
    <n v="606"/>
    <n v="2"/>
    <n v="3780000"/>
    <n v="1110000"/>
    <n v="4.8899999999999997"/>
  </r>
  <r>
    <s v="India"/>
    <x v="0"/>
    <x v="0"/>
    <x v="6"/>
    <s v="BRPL"/>
    <x v="4"/>
    <s v="new delhi"/>
    <n v="1582"/>
    <n v="1"/>
    <n v="3754031"/>
    <n v="940140"/>
    <n v="4.694"/>
  </r>
  <r>
    <s v="India"/>
    <x v="0"/>
    <x v="0"/>
    <x v="6"/>
    <s v="BYPL"/>
    <x v="4"/>
    <s v="new delhi"/>
    <n v="997"/>
    <n v="2"/>
    <n v="1949546"/>
    <n v="619860"/>
    <n v="2.569"/>
  </r>
  <r>
    <s v="India"/>
    <x v="0"/>
    <x v="0"/>
    <x v="6"/>
    <s v="Noida Power Company Ltd. (NPCL)"/>
    <x v="15"/>
    <s v="greater noida"/>
    <n v="1"/>
    <n v="0"/>
    <n v="177"/>
    <n v="0"/>
    <n v="0"/>
  </r>
  <r>
    <s v="India"/>
    <x v="0"/>
    <x v="0"/>
    <x v="6"/>
    <s v="AVVNL"/>
    <x v="16"/>
    <s v="ajmer"/>
    <n v="22"/>
    <n v="0"/>
    <n v="8699"/>
    <n v="0"/>
    <n v="8.9999999999999993E-3"/>
  </r>
  <r>
    <s v="India"/>
    <x v="0"/>
    <x v="0"/>
    <x v="6"/>
    <s v="UHBVN"/>
    <x v="14"/>
    <s v="panchkula, karnal, kaithal, sonipat"/>
    <n v="8"/>
    <n v="0"/>
    <n v="6185"/>
    <n v="0"/>
    <n v="6.0000000000000001E-3"/>
  </r>
  <r>
    <s v="India"/>
    <x v="0"/>
    <x v="0"/>
    <x v="6"/>
    <s v="MSEDCL"/>
    <x v="12"/>
    <s v="navi mumbai, pune, thane, nagpur"/>
    <n v="2583"/>
    <n v="17"/>
    <n v="270048"/>
    <n v="5562424"/>
    <n v="5.8319999999999999"/>
  </r>
  <r>
    <s v="India"/>
    <x v="0"/>
    <x v="0"/>
    <x v="6"/>
    <s v="Brihan Mumbai Electric Supply Company (BEST)"/>
    <x v="12"/>
    <s v="mumbai (best)"/>
    <n v="18"/>
    <n v="10"/>
    <n v="43144"/>
    <n v="1552737"/>
    <n v="1.5960000000000001"/>
  </r>
  <r>
    <s v="India"/>
    <x v="0"/>
    <x v="0"/>
    <x v="6"/>
    <s v="UGVCL"/>
    <x v="3"/>
    <s v="hebatpur, bavla(ramnagar), fedra, dholasan, asal, modasa, majadar, nugar, rangpur"/>
    <n v="14"/>
    <n v="0"/>
    <n v="3717"/>
    <n v="0"/>
    <n v="4.0000000000000001E-3"/>
  </r>
  <r>
    <s v="India"/>
    <x v="0"/>
    <x v="0"/>
    <x v="6"/>
    <s v="PGVCL"/>
    <x v="3"/>
    <s v="rajkot, surendranagar, junagadh, jamnagar, morbi, botad"/>
    <n v="11"/>
    <n v="3"/>
    <n v="14522"/>
    <n v="373544"/>
    <n v="0.38800000000000001"/>
  </r>
  <r>
    <s v="India"/>
    <x v="0"/>
    <x v="0"/>
    <x v="6"/>
    <s v="APDCL"/>
    <x v="11"/>
    <s v="badarpur, karimganj, kokrajhar, nagaon, silchar, guwahati, tezpur"/>
    <n v="75"/>
    <n v="3"/>
    <n v="105681"/>
    <n v="27320"/>
    <n v="0.13300000000000001"/>
  </r>
  <r>
    <s v="India"/>
    <x v="0"/>
    <x v="0"/>
    <x v="6"/>
    <s v="Torrent Power"/>
    <x v="3"/>
    <s v="ahemdabad"/>
    <n v="10"/>
    <n v="6"/>
    <n v="6058"/>
    <n v="1442287"/>
    <n v="1.448"/>
  </r>
  <r>
    <s v="India"/>
    <x v="0"/>
    <x v="0"/>
    <x v="6"/>
    <s v="CESC Mysore"/>
    <x v="0"/>
    <s v="mysore, mandya, hassan, kodagu"/>
    <n v="18"/>
    <n v="0"/>
    <n v="3002"/>
    <n v="0"/>
    <n v="3.0000000000000001E-3"/>
  </r>
  <r>
    <s v="India"/>
    <x v="0"/>
    <x v="0"/>
    <x v="6"/>
    <s v="CESC"/>
    <x v="10"/>
    <s v="kolkata"/>
    <n v="5"/>
    <n v="11"/>
    <n v="310"/>
    <n v="202403"/>
    <n v="0.20300000000000001"/>
  </r>
  <r>
    <s v="India"/>
    <x v="0"/>
    <x v="0"/>
    <x v="6"/>
    <s v="MESCOM"/>
    <x v="0"/>
    <s v="mangaluru, udupi, shivamogga, chikkamagaluru"/>
    <n v="63"/>
    <n v="0"/>
    <n v="7579"/>
    <n v="0"/>
    <n v="8.0000000000000002E-3"/>
  </r>
  <r>
    <s v="India"/>
    <x v="0"/>
    <x v="0"/>
    <x v="7"/>
    <s v="JVVNL"/>
    <x v="16"/>
    <s v="alwar, dausa, jcc, jpdc"/>
    <n v="158"/>
    <n v="11"/>
    <n v="348636"/>
    <n v="87169"/>
    <n v="0.436"/>
  </r>
  <r>
    <s v="India"/>
    <x v="1"/>
    <x v="1"/>
    <x v="3"/>
    <s v="Noida Power Company Ltd. (NPCL)"/>
    <x v="15"/>
    <s v="greater noida"/>
    <n v="0"/>
    <n v="0"/>
    <n v="0"/>
    <n v="0"/>
    <n v="0"/>
  </r>
  <r>
    <s v="India"/>
    <x v="0"/>
    <x v="0"/>
    <x v="8"/>
    <s v="Torrent Power"/>
    <x v="3"/>
    <s v="ahemdabad"/>
    <n v="10"/>
    <n v="6"/>
    <n v="6349"/>
    <n v="1648190"/>
    <n v="1.655"/>
  </r>
  <r>
    <s v="India"/>
    <x v="0"/>
    <x v="0"/>
    <x v="6"/>
    <s v="APEPDCL"/>
    <x v="1"/>
    <s v="visakhapatnam, rajmahendravaram, west godavari, srikakulam, vizianagaram"/>
    <n v="57"/>
    <n v="0"/>
    <n v="9947"/>
    <n v="0"/>
    <n v="0.01"/>
  </r>
  <r>
    <s v="India"/>
    <x v="0"/>
    <x v="0"/>
    <x v="6"/>
    <s v="APSPDCL"/>
    <x v="1"/>
    <s v="anantpur, kadapa, kurnool, nellore, tirupati"/>
    <n v="24"/>
    <n v="7"/>
    <n v="4306"/>
    <n v="169238"/>
    <n v="0.17399999999999999"/>
  </r>
  <r>
    <s v="India"/>
    <x v="0"/>
    <x v="0"/>
    <x v="6"/>
    <s v="SBPDCL"/>
    <x v="2"/>
    <s v="patna"/>
    <n v="105"/>
    <n v="0"/>
    <n v="25989"/>
    <n v="0"/>
    <n v="2.5999999999999999E-2"/>
  </r>
  <r>
    <s v="India"/>
    <x v="0"/>
    <x v="0"/>
    <x v="6"/>
    <s v="TSSPDCL"/>
    <x v="13"/>
    <s v="hyderabad"/>
    <n v="42"/>
    <n v="6"/>
    <n v="30000"/>
    <n v="74000"/>
    <n v="0.104"/>
  </r>
  <r>
    <s v="India"/>
    <x v="0"/>
    <x v="0"/>
    <x v="6"/>
    <s v="NBPDCL"/>
    <x v="2"/>
    <s v="patna"/>
    <n v="105"/>
    <n v="0"/>
    <n v="25989"/>
    <n v="0"/>
    <n v="2.5999999999999999E-2"/>
  </r>
  <r>
    <s v="India"/>
    <x v="0"/>
    <x v="0"/>
    <x v="6"/>
    <s v="TSNPDCL"/>
    <x v="13"/>
    <s v="adilabad, hanamkonda, kamareddy, karimnagar, khammam, mahabubabad, nirmal, nazimabad, pdeapally, warangal"/>
    <n v="29"/>
    <n v="0"/>
    <n v="5507"/>
    <n v="0"/>
    <n v="6.0000000000000001E-3"/>
  </r>
  <r>
    <s v="India"/>
    <x v="0"/>
    <x v="0"/>
    <x v="6"/>
    <s v="KSEB"/>
    <x v="8"/>
    <s v="thiruvananthapuram, ernakulam, kozhikode"/>
    <n v="121"/>
    <n v="4"/>
    <n v="60911"/>
    <n v="20002"/>
    <n v="8.1000000000000003E-2"/>
  </r>
  <r>
    <s v="India"/>
    <x v="0"/>
    <x v="0"/>
    <x v="2"/>
    <s v="CESC Mysore"/>
    <x v="0"/>
    <s v="mysore, mandya, hassan, kodagu"/>
    <n v="18"/>
    <n v="0"/>
    <n v="4013"/>
    <n v="0"/>
    <n v="4.0000000000000001E-3"/>
  </r>
  <r>
    <s v="India"/>
    <x v="0"/>
    <x v="0"/>
    <x v="2"/>
    <s v="HESCOM"/>
    <x v="0"/>
    <m/>
    <n v="3"/>
    <n v="0"/>
    <n v="269"/>
    <n v="0"/>
    <n v="2.7E-4"/>
  </r>
  <r>
    <s v="India"/>
    <x v="0"/>
    <x v="0"/>
    <x v="2"/>
    <s v="MSEDCL"/>
    <x v="12"/>
    <s v="navi mumbai, pune, thane, nagpur"/>
    <n v="2583"/>
    <n v="13"/>
    <n v="179586"/>
    <n v="5219094"/>
    <n v="5.399"/>
  </r>
  <r>
    <s v="India"/>
    <x v="0"/>
    <x v="0"/>
    <x v="2"/>
    <s v="CESC"/>
    <x v="10"/>
    <s v="kolkata"/>
    <n v="5"/>
    <n v="11"/>
    <n v="320"/>
    <n v="207064"/>
    <n v="0.20699999999999999"/>
  </r>
  <r>
    <s v="India"/>
    <x v="0"/>
    <x v="0"/>
    <x v="2"/>
    <s v="Tata Power-DDL"/>
    <x v="4"/>
    <s v="new delhi"/>
    <n v="595"/>
    <n v="2"/>
    <n v="2950000"/>
    <n v="970000"/>
    <n v="3.92"/>
  </r>
  <r>
    <s v="India"/>
    <x v="0"/>
    <x v="0"/>
    <x v="2"/>
    <s v="BRPL"/>
    <x v="4"/>
    <s v="new delhi"/>
    <n v="1553"/>
    <n v="1"/>
    <n v="3679434"/>
    <n v="841800"/>
    <n v="4.5209999999999999"/>
  </r>
  <r>
    <s v="India"/>
    <x v="0"/>
    <x v="0"/>
    <x v="2"/>
    <s v="UHBVN"/>
    <x v="14"/>
    <s v="panchkula, karnal, kaithal, sonipat"/>
    <n v="8"/>
    <n v="0"/>
    <n v="14162"/>
    <n v="0"/>
    <n v="1.4E-2"/>
  </r>
  <r>
    <s v="India"/>
    <x v="0"/>
    <x v="0"/>
    <x v="2"/>
    <s v="AVVNL"/>
    <x v="16"/>
    <s v="ajmer"/>
    <n v="22"/>
    <n v="0"/>
    <n v="7212"/>
    <n v="0"/>
    <n v="7.0000000000000001E-3"/>
  </r>
  <r>
    <s v="India"/>
    <x v="0"/>
    <x v="0"/>
    <x v="2"/>
    <s v="TSSPDCL"/>
    <x v="13"/>
    <s v="hyderabad"/>
    <n v="39"/>
    <n v="6"/>
    <n v="34000"/>
    <n v="54000"/>
    <n v="8.7999999999999995E-2"/>
  </r>
  <r>
    <s v="India"/>
    <x v="0"/>
    <x v="0"/>
    <x v="2"/>
    <s v="APSPDCL"/>
    <x v="1"/>
    <s v="anantpur, kadapa, kurnool, nellore, tirupati"/>
    <n v="23"/>
    <n v="7"/>
    <n v="4681"/>
    <n v="169239"/>
    <n v="0.17399999999999999"/>
  </r>
  <r>
    <s v="India"/>
    <x v="0"/>
    <x v="0"/>
    <x v="2"/>
    <s v="Noida Power Company Ltd. (NPCL)"/>
    <x v="15"/>
    <s v="greater noida"/>
    <n v="1"/>
    <n v="0"/>
    <n v="532"/>
    <n v="0"/>
    <n v="1E-3"/>
  </r>
  <r>
    <s v="India"/>
    <x v="0"/>
    <x v="0"/>
    <x v="2"/>
    <s v="PGVCL"/>
    <x v="3"/>
    <s v="rajkot, surendranagar, junagadh, jamnagar, morbi, botad"/>
    <n v="11"/>
    <n v="3"/>
    <n v="13187"/>
    <n v="310184"/>
    <n v="0.32300000000000001"/>
  </r>
  <r>
    <s v="India"/>
    <x v="0"/>
    <x v="0"/>
    <x v="2"/>
    <s v="KSEB"/>
    <x v="8"/>
    <s v="thiruvananthapuram, ernakulam, kozhikode"/>
    <n v="121"/>
    <n v="4"/>
    <n v="51729"/>
    <n v="28555"/>
    <n v="0.08"/>
  </r>
  <r>
    <s v="India"/>
    <x v="0"/>
    <x v="0"/>
    <x v="2"/>
    <s v="TSNPDCL"/>
    <x v="13"/>
    <s v="adilabad, hanamkonda, kamareddy, karimnagar, khammam, mahabubabad, nirmal, nazimabad, pdeapally, warangal"/>
    <n v="25"/>
    <n v="0"/>
    <n v="4140"/>
    <n v="0"/>
    <n v="4.0000000000000001E-3"/>
  </r>
  <r>
    <s v="India"/>
    <x v="0"/>
    <x v="0"/>
    <x v="2"/>
    <s v="APEPDCL"/>
    <x v="1"/>
    <s v="visakhapatnam, rajmahendravaram, west godavari, srikakulam, vizianagaram"/>
    <n v="53"/>
    <n v="0"/>
    <n v="11906"/>
    <n v="0"/>
    <n v="1.2E-2"/>
  </r>
  <r>
    <s v="India"/>
    <x v="0"/>
    <x v="0"/>
    <x v="2"/>
    <s v="NBPDCL"/>
    <x v="2"/>
    <s v="patna"/>
    <n v="78"/>
    <n v="0"/>
    <n v="6000"/>
    <n v="0"/>
    <n v="6.0000000000000001E-3"/>
  </r>
  <r>
    <s v="India"/>
    <x v="1"/>
    <x v="1"/>
    <x v="7"/>
    <s v="PGVCL"/>
    <x v="3"/>
    <s v="rajkot, surendranagar, junagadh, jamnagar, morbi, botad"/>
    <n v="3"/>
    <n v="1"/>
    <n v="1677"/>
    <n v="131220"/>
    <n v="0.13300000000000001"/>
  </r>
  <r>
    <s v="India"/>
    <x v="1"/>
    <x v="1"/>
    <x v="7"/>
    <s v="Brihan Mumbai Electric Supply Company (BEST)"/>
    <x v="12"/>
    <s v="mumbai (best)"/>
    <n v="11"/>
    <n v="10"/>
    <n v="25843"/>
    <n v="1352927"/>
    <n v="1.379"/>
  </r>
  <r>
    <s v="India"/>
    <x v="1"/>
    <x v="1"/>
    <x v="7"/>
    <s v="Torrent Power"/>
    <x v="3"/>
    <s v="ahemdabad"/>
    <n v="8"/>
    <n v="5"/>
    <n v="17373"/>
    <n v="1446808"/>
    <n v="1.464"/>
  </r>
  <r>
    <s v="India"/>
    <x v="1"/>
    <x v="1"/>
    <x v="7"/>
    <s v="MSEDCL"/>
    <x v="12"/>
    <s v="navi mumbai, pune, thane, nagpur"/>
    <n v="48"/>
    <n v="4"/>
    <n v="21098"/>
    <n v="607724"/>
    <n v="0.629"/>
  </r>
  <r>
    <s v="India"/>
    <x v="1"/>
    <x v="1"/>
    <x v="7"/>
    <s v="CESC Mysore"/>
    <x v="0"/>
    <s v="mysore, mandya, hassan, kodagu"/>
    <n v="9"/>
    <n v="0"/>
    <n v="168"/>
    <n v="0"/>
    <n v="0"/>
  </r>
  <r>
    <s v="India"/>
    <x v="1"/>
    <x v="1"/>
    <x v="7"/>
    <s v="APDCL"/>
    <x v="11"/>
    <s v="badarpur, karimganj, kokrajhar, nagaon, silchar, guwahati, tezpur"/>
    <n v="11"/>
    <n v="2"/>
    <n v="23291"/>
    <n v="20598"/>
    <n v="4.3999999999999997E-2"/>
  </r>
  <r>
    <s v="India"/>
    <x v="1"/>
    <x v="1"/>
    <x v="7"/>
    <s v="TANGEDCO"/>
    <x v="6"/>
    <s v="coimbatore, villupuram, tirunelveli, chennai north, vellore"/>
    <n v="34"/>
    <n v="0"/>
    <n v="62274"/>
    <n v="0"/>
    <n v="6.2E-2"/>
  </r>
  <r>
    <s v="India"/>
    <x v="1"/>
    <x v="1"/>
    <x v="7"/>
    <s v="MESCOM"/>
    <x v="0"/>
    <s v="mangaluru, udupi, shivamogga, chikkamagaluru"/>
    <n v="1"/>
    <n v="0"/>
    <n v="480"/>
    <n v="0"/>
    <n v="0"/>
  </r>
  <r>
    <s v="India"/>
    <x v="1"/>
    <x v="1"/>
    <x v="7"/>
    <s v="UHBVN"/>
    <x v="14"/>
    <s v="panchkula, karnal, kaithal, sonipat"/>
    <n v="6"/>
    <n v="0"/>
    <n v="818"/>
    <n v="0"/>
    <n v="1E-3"/>
  </r>
  <r>
    <s v="India"/>
    <x v="1"/>
    <x v="1"/>
    <x v="7"/>
    <s v="CESC"/>
    <x v="10"/>
    <s v="kolkata"/>
    <n v="5"/>
    <n v="11"/>
    <n v="320"/>
    <n v="282481"/>
    <n v="0.28299999999999997"/>
  </r>
  <r>
    <s v="India"/>
    <x v="1"/>
    <x v="1"/>
    <x v="7"/>
    <s v="KSEB"/>
    <x v="8"/>
    <s v="thiruvananthapuram, ernakulam, kozhikode"/>
    <n v="18"/>
    <n v="1"/>
    <n v="20427"/>
    <n v="114"/>
    <n v="2.1000000000000001E-2"/>
  </r>
  <r>
    <s v="India"/>
    <x v="1"/>
    <x v="1"/>
    <x v="7"/>
    <s v="DVC"/>
    <x v="9"/>
    <s v="maithon, dhanbad"/>
    <n v="1"/>
    <n v="0"/>
    <n v="0"/>
    <n v="0"/>
    <n v="0"/>
  </r>
  <r>
    <s v="India"/>
    <x v="1"/>
    <x v="1"/>
    <x v="7"/>
    <s v="APEPDCL"/>
    <x v="1"/>
    <s v="visakhapatnam, rajmahendravaram, west godavari, srikakulam, vizianagaram"/>
    <n v="34"/>
    <n v="0"/>
    <n v="5923"/>
    <n v="0"/>
    <n v="6.0000000000000001E-3"/>
  </r>
  <r>
    <s v="India"/>
    <x v="1"/>
    <x v="1"/>
    <x v="7"/>
    <s v="APSPDCL"/>
    <x v="1"/>
    <s v="anantpur, kadapa, kurnool, nellore, tirupati"/>
    <n v="11"/>
    <n v="0"/>
    <n v="613"/>
    <n v="0"/>
    <n v="1E-3"/>
  </r>
  <r>
    <s v="India"/>
    <x v="1"/>
    <x v="1"/>
    <x v="7"/>
    <s v="BRPL"/>
    <x v="4"/>
    <s v="new delhi"/>
    <n v="1254"/>
    <n v="1"/>
    <n v="3257340"/>
    <n v="544020"/>
    <n v="3.8010000000000002"/>
  </r>
  <r>
    <s v="India"/>
    <x v="1"/>
    <x v="1"/>
    <x v="7"/>
    <s v="UGVCL"/>
    <x v="3"/>
    <s v="hebatpur, bavla(ramnagar), fedra, dholasan, asal, modasa, majadar, nugar, rangpur"/>
    <n v="5"/>
    <n v="0"/>
    <n v="2818"/>
    <n v="0"/>
    <n v="3.0000000000000001E-3"/>
  </r>
  <r>
    <s v="India"/>
    <x v="1"/>
    <x v="1"/>
    <x v="7"/>
    <s v="DGVCL"/>
    <x v="3"/>
    <s v="surat city, navsari, vapi-town, haldarva, bharuch east, kavadiya colony"/>
    <n v="7"/>
    <n v="1"/>
    <n v="14179"/>
    <n v="360580"/>
    <n v="0.375"/>
  </r>
  <r>
    <s v="India"/>
    <x v="1"/>
    <x v="1"/>
    <x v="7"/>
    <s v="Tata Power-DDL"/>
    <x v="4"/>
    <s v="new delhi"/>
    <n v="535"/>
    <n v="2"/>
    <n v="2170000"/>
    <n v="1020000"/>
    <n v="3.19"/>
  </r>
  <r>
    <s v="India"/>
    <x v="1"/>
    <x v="1"/>
    <x v="7"/>
    <s v="TSNPDCL"/>
    <x v="13"/>
    <s v="adilabad, hanamkonda, kamareddy, karimnagar, khammam, mahabubabad, nirmal, nazimabad, pdeapally, warangal"/>
    <n v="1"/>
    <n v="0"/>
    <n v="472"/>
    <n v="0"/>
    <n v="0"/>
  </r>
  <r>
    <s v="India"/>
    <x v="1"/>
    <x v="1"/>
    <x v="7"/>
    <s v="BYPL"/>
    <x v="4"/>
    <s v="new delhi"/>
    <n v="982"/>
    <n v="1"/>
    <n v="1625587"/>
    <n v="267930"/>
    <n v="1.8939999999999999"/>
  </r>
  <r>
    <s v="India"/>
    <x v="1"/>
    <x v="1"/>
    <x v="7"/>
    <s v="Noida Power Company Ltd. (NPCL)"/>
    <x v="15"/>
    <s v="greater noida"/>
    <n v="0"/>
    <n v="0"/>
    <n v="0"/>
    <n v="0"/>
    <n v="0"/>
  </r>
  <r>
    <s v="India"/>
    <x v="1"/>
    <x v="1"/>
    <x v="7"/>
    <s v="TSSPDCL"/>
    <x v="13"/>
    <s v="hyderabad"/>
    <n v="22"/>
    <n v="1"/>
    <n v="10911"/>
    <n v="270"/>
    <n v="1.0999999999999999E-2"/>
  </r>
  <r>
    <s v="India"/>
    <x v="0"/>
    <x v="0"/>
    <x v="7"/>
    <s v="SBPDCL"/>
    <x v="2"/>
    <s v="patna"/>
    <m/>
    <m/>
    <m/>
    <m/>
    <n v="0"/>
  </r>
  <r>
    <s v="India"/>
    <x v="0"/>
    <x v="0"/>
    <x v="7"/>
    <s v="DGVCL"/>
    <x v="3"/>
    <s v="surat city, navsari, vapi-town, haldarva, bharuch east, kavadiya colony"/>
    <n v="49"/>
    <n v="12"/>
    <n v="35789"/>
    <n v="1390120"/>
    <n v="1.4259999999999999"/>
  </r>
  <r>
    <s v="India"/>
    <x v="0"/>
    <x v="0"/>
    <x v="7"/>
    <s v="NBPDCL"/>
    <x v="2"/>
    <s v="patna"/>
    <n v="181"/>
    <n v="0"/>
    <n v="16132"/>
    <n v="0"/>
    <n v="1.6E-2"/>
  </r>
  <r>
    <s v="India"/>
    <x v="0"/>
    <x v="0"/>
    <x v="7"/>
    <s v="TSNPDCL"/>
    <x v="13"/>
    <s v="adilabad, hanamkonda, kamareddy, karimnagar, khammam, mahabubabad, nirmal, nazimabad, pdeapally, warangal"/>
    <n v="33"/>
    <n v="0"/>
    <n v="10691"/>
    <n v="0"/>
    <n v="1.0999999999999999E-2"/>
  </r>
  <r>
    <s v="India"/>
    <x v="0"/>
    <x v="0"/>
    <x v="7"/>
    <s v="Noida Power Company Ltd. (NPCL)"/>
    <x v="15"/>
    <s v="greater noida"/>
    <n v="3"/>
    <n v="0"/>
    <n v="960"/>
    <n v="0"/>
    <n v="1E-3"/>
  </r>
  <r>
    <s v="India"/>
    <x v="0"/>
    <x v="0"/>
    <x v="7"/>
    <s v="Tata Power-DDL"/>
    <x v="4"/>
    <s v="new delhi"/>
    <n v="639"/>
    <n v="2"/>
    <n v="2710000"/>
    <n v="1630000"/>
    <n v="4.34"/>
  </r>
  <r>
    <s v="India"/>
    <x v="0"/>
    <x v="0"/>
    <x v="7"/>
    <s v="BYPL"/>
    <x v="4"/>
    <s v="new delhi"/>
    <n v="1134"/>
    <n v="2"/>
    <n v="2137072"/>
    <n v="931140"/>
    <n v="3.0680000000000001"/>
  </r>
  <r>
    <s v="India"/>
    <x v="0"/>
    <x v="0"/>
    <x v="7"/>
    <s v="MPMKVVCL"/>
    <x v="5"/>
    <s v="bhopal city, gwalior city, betul, guna, harda, itarsi, narmadapuram, bareli, raisen, narsinghgarh, zeerapur, ashta, vidisha"/>
    <n v="85"/>
    <n v="1"/>
    <n v="19334"/>
    <n v="188904"/>
    <n v="0.20799999999999999"/>
  </r>
  <r>
    <s v="India"/>
    <x v="0"/>
    <x v="0"/>
    <x v="7"/>
    <s v="TPCODL"/>
    <x v="7"/>
    <s v="bhubaneswar, puri, khordha &amp; paradeep"/>
    <n v="15"/>
    <n v="0"/>
    <n v="3683"/>
    <n v="0"/>
    <n v="4.0000000000000001E-3"/>
  </r>
  <r>
    <s v="India"/>
    <x v="0"/>
    <x v="0"/>
    <x v="7"/>
    <s v="APEPDCL"/>
    <x v="1"/>
    <s v="visakhapatnam, rajmahendravaram, west godavari, srikakulam, vizianagaram"/>
    <n v="69"/>
    <n v="0"/>
    <n v="20033"/>
    <n v="0"/>
    <n v="0.02"/>
  </r>
  <r>
    <s v="India"/>
    <x v="0"/>
    <x v="0"/>
    <x v="7"/>
    <s v="Brihan Mumbai Electric Supply Company (BEST)"/>
    <x v="12"/>
    <s v="mumbai (best)"/>
    <n v="42"/>
    <n v="31"/>
    <n v="223605"/>
    <n v="1956709"/>
    <n v="2.1800000000000002"/>
  </r>
  <r>
    <s v="India"/>
    <x v="0"/>
    <x v="0"/>
    <x v="7"/>
    <s v="CESC"/>
    <x v="10"/>
    <s v="kolkata"/>
    <n v="12"/>
    <n v="11"/>
    <n v="2487"/>
    <n v="250515"/>
    <n v="0.253"/>
  </r>
  <r>
    <s v="India"/>
    <x v="0"/>
    <x v="0"/>
    <x v="7"/>
    <s v="DVC"/>
    <x v="9"/>
    <s v="maithon, dhanbad"/>
    <m/>
    <m/>
    <m/>
    <m/>
    <n v="0"/>
  </r>
  <r>
    <s v="India"/>
    <x v="0"/>
    <x v="0"/>
    <x v="7"/>
    <s v="APDCL"/>
    <x v="11"/>
    <s v="badarpur, karimganj, kokrajhar, nagaon, silchar, guwahati, tezpur"/>
    <n v="96"/>
    <n v="9"/>
    <n v="197710"/>
    <n v="19095"/>
    <n v="0.217"/>
  </r>
  <r>
    <s v="India"/>
    <x v="0"/>
    <x v="0"/>
    <x v="7"/>
    <s v="CESC Mysore"/>
    <x v="0"/>
    <s v="mysore, mandya, hassan, kodagu"/>
    <n v="21"/>
    <n v="3"/>
    <n v="10112"/>
    <n v="197518"/>
    <n v="0.20799999999999999"/>
  </r>
  <r>
    <s v="India"/>
    <x v="0"/>
    <x v="0"/>
    <x v="7"/>
    <s v="Torrent Power"/>
    <x v="3"/>
    <s v="ahemdabad"/>
    <n v="22"/>
    <n v="6"/>
    <n v="11138"/>
    <n v="1745105"/>
    <n v="1.756"/>
  </r>
  <r>
    <s v="India"/>
    <x v="1"/>
    <x v="1"/>
    <x v="1"/>
    <s v="TPCODL"/>
    <x v="7"/>
    <s v="bhubaneswar"/>
    <n v="3"/>
    <n v="0"/>
    <n v="84"/>
    <n v="0"/>
    <n v="0"/>
  </r>
  <r>
    <s v="India"/>
    <x v="0"/>
    <x v="0"/>
    <x v="7"/>
    <s v="APSPDCL"/>
    <x v="1"/>
    <s v="anantpur, kadapa, kurnool, nellore, tirupati"/>
    <n v="28"/>
    <n v="8"/>
    <n v="9477"/>
    <n v="859817"/>
    <n v="0.86899999999999999"/>
  </r>
  <r>
    <s v="India"/>
    <x v="0"/>
    <x v="0"/>
    <x v="7"/>
    <s v="UHBVN"/>
    <x v="14"/>
    <s v="panchkula, karnal, kaithal, sonipat, ambala, kurukshetra"/>
    <n v="14"/>
    <n v="0"/>
    <n v="12912"/>
    <n v="0"/>
    <n v="1.2999999999999999E-2"/>
  </r>
  <r>
    <s v="India"/>
    <x v="0"/>
    <x v="0"/>
    <x v="7"/>
    <s v="MESCOM"/>
    <x v="0"/>
    <s v="mangaluru, udupi, shivamogga, chikkamagaluru"/>
    <n v="67"/>
    <n v="2"/>
    <n v="17449"/>
    <n v="108312"/>
    <n v="0.126"/>
  </r>
  <r>
    <s v="India"/>
    <x v="0"/>
    <x v="0"/>
    <x v="7"/>
    <m/>
    <x v="17"/>
    <s v="chandigarh"/>
    <n v="18"/>
    <n v="6"/>
    <n v="39676"/>
    <n v="538664"/>
    <n v="0.57799999999999996"/>
  </r>
  <r>
    <s v="India"/>
    <x v="0"/>
    <x v="0"/>
    <x v="7"/>
    <s v="PGVCL"/>
    <x v="3"/>
    <s v="rajkot, surendranagar, junagadh, jamnagar, morbi, botad"/>
    <n v="25"/>
    <n v="3"/>
    <n v="22132"/>
    <n v="451922"/>
    <n v="0.47399999999999998"/>
  </r>
  <r>
    <s v="India"/>
    <x v="0"/>
    <x v="0"/>
    <x v="7"/>
    <s v="HESCOM"/>
    <x v="0"/>
    <s v="hubli"/>
    <n v="12"/>
    <n v="2"/>
    <n v="6857"/>
    <n v="177"/>
    <n v="7.0000000000000001E-3"/>
  </r>
  <r>
    <s v="India"/>
    <x v="0"/>
    <x v="0"/>
    <x v="7"/>
    <s v="AVVNL"/>
    <x v="16"/>
    <s v="ajmer"/>
    <n v="29"/>
    <n v="0"/>
    <n v="13269"/>
    <n v="0"/>
    <n v="1.2999999999999999E-2"/>
  </r>
  <r>
    <s v="India"/>
    <x v="0"/>
    <x v="0"/>
    <x v="7"/>
    <s v="DHBVN"/>
    <x v="14"/>
    <s v="faridabad, gurugram, hisar, rewari, sirsa, narnaul, palwal"/>
    <n v="69"/>
    <n v="0"/>
    <n v="1103863"/>
    <n v="0"/>
    <n v="1.1040000000000001"/>
  </r>
  <r>
    <s v="India"/>
    <x v="0"/>
    <x v="0"/>
    <x v="7"/>
    <s v="JDVVNL"/>
    <x v="16"/>
    <s v="pali"/>
    <m/>
    <m/>
    <m/>
    <m/>
    <n v="0"/>
  </r>
  <r>
    <s v="India"/>
    <x v="0"/>
    <x v="0"/>
    <x v="7"/>
    <s v="TANGEDCO"/>
    <x v="6"/>
    <s v="coimbatore, villupuram, tirunelveli, chennai north, vellore"/>
    <m/>
    <m/>
    <m/>
    <m/>
    <n v="0"/>
  </r>
  <r>
    <s v="India"/>
    <x v="0"/>
    <x v="0"/>
    <x v="7"/>
    <s v="GESCOM"/>
    <x v="0"/>
    <s v="kalaburgi"/>
    <m/>
    <m/>
    <m/>
    <m/>
    <n v="0"/>
  </r>
  <r>
    <s v="India"/>
    <x v="0"/>
    <x v="0"/>
    <x v="7"/>
    <s v="MSEDCL"/>
    <x v="12"/>
    <s v="navi mumbai, pune, thane, nagpur"/>
    <n v="2782"/>
    <n v="17"/>
    <n v="426242"/>
    <n v="14014717"/>
    <n v="14.441000000000001"/>
  </r>
  <r>
    <s v="India"/>
    <x v="0"/>
    <x v="0"/>
    <x v="7"/>
    <s v="KSEB"/>
    <x v="8"/>
    <s v="thiruvananthapuram, ernakulam, kozhikode"/>
    <n v="273"/>
    <n v="4"/>
    <n v="147676"/>
    <n v="30528"/>
    <n v="0.17799999999999999"/>
  </r>
  <r>
    <s v="India"/>
    <x v="0"/>
    <x v="0"/>
    <x v="7"/>
    <s v="BRPL"/>
    <x v="4"/>
    <s v="new delhi"/>
    <n v="1802"/>
    <n v="3"/>
    <n v="4909430"/>
    <n v="1566780"/>
    <n v="6.476"/>
  </r>
  <r>
    <s v="India"/>
    <x v="0"/>
    <x v="0"/>
    <x v="7"/>
    <s v="UGVCL"/>
    <x v="3"/>
    <s v="hebatpur, bavla(ramnagar), fedra, dholasan, asal, modasa, majadar, nugar, rangpur"/>
    <n v="27"/>
    <n v="0"/>
    <n v="14804"/>
    <n v="0"/>
    <n v="1.4999999999999999E-2"/>
  </r>
  <r>
    <s v="India"/>
    <x v="0"/>
    <x v="0"/>
    <x v="7"/>
    <s v="TSSPDCL"/>
    <x v="13"/>
    <s v="hyderabad"/>
    <n v="91"/>
    <n v="9"/>
    <n v="69000"/>
    <n v="254000"/>
    <n v="0.32300000000000001"/>
  </r>
  <r>
    <s v="India"/>
    <x v="1"/>
    <x v="1"/>
    <x v="9"/>
    <s v="MSEDCL"/>
    <x v="12"/>
    <s v="navi mumbai, pune, thane, nagpur"/>
    <n v="48"/>
    <n v="4"/>
    <n v="1786"/>
    <n v="938444"/>
    <n v="0.94"/>
  </r>
  <r>
    <s v="India"/>
    <x v="1"/>
    <x v="1"/>
    <x v="9"/>
    <s v="Noida Power Company Ltd. (NPCL)"/>
    <x v="15"/>
    <s v="greater noida"/>
    <n v="0"/>
    <n v="0"/>
    <n v="0"/>
    <n v="0"/>
    <n v="0"/>
  </r>
  <r>
    <s v="India"/>
    <x v="1"/>
    <x v="1"/>
    <x v="9"/>
    <s v="UGVCL"/>
    <x v="3"/>
    <s v="hebatpur, bavla(ramnagar), fedra, dholasan, asal, modasa, majadar, nugar, rangpur"/>
    <n v="3"/>
    <n v="0"/>
    <n v="2264"/>
    <n v="0"/>
    <n v="2E-3"/>
  </r>
  <r>
    <s v="India"/>
    <x v="1"/>
    <x v="1"/>
    <x v="9"/>
    <s v="PGVCL"/>
    <x v="3"/>
    <s v="rajkot, surendranagar, junagadh, jamnagar, morbi, botad"/>
    <n v="3"/>
    <n v="1"/>
    <n v="3354"/>
    <n v="146600"/>
    <n v="0.15"/>
  </r>
  <r>
    <s v="India"/>
    <x v="1"/>
    <x v="1"/>
    <x v="9"/>
    <s v="APSPDCL"/>
    <x v="1"/>
    <s v="anantpur, kadapa, kurnool, nellore, tirupati"/>
    <n v="11"/>
    <n v="0"/>
    <n v="2095"/>
    <n v="0"/>
    <n v="2E-3"/>
  </r>
  <r>
    <s v="India"/>
    <x v="1"/>
    <x v="1"/>
    <x v="9"/>
    <s v="CESC"/>
    <x v="10"/>
    <s v="kolkata"/>
    <n v="5"/>
    <n v="11"/>
    <n v="330"/>
    <n v="278302"/>
    <n v="0.27900000000000003"/>
  </r>
  <r>
    <s v="India"/>
    <x v="1"/>
    <x v="1"/>
    <x v="9"/>
    <s v="CESC Mysore"/>
    <x v="0"/>
    <s v="mysore, mandya, hassan, kodagu"/>
    <n v="8"/>
    <n v="0"/>
    <n v="67"/>
    <n v="0"/>
    <n v="0"/>
  </r>
  <r>
    <s v="India"/>
    <x v="1"/>
    <x v="1"/>
    <x v="9"/>
    <s v="APDCL"/>
    <x v="11"/>
    <s v="badarpur, karimganj, kokrajhar, nagaon, silchar, guwahati, tezpur"/>
    <n v="11"/>
    <n v="2"/>
    <n v="24978"/>
    <n v="29995"/>
    <n v="5.5E-2"/>
  </r>
  <r>
    <s v="India"/>
    <x v="0"/>
    <x v="0"/>
    <x v="10"/>
    <s v="TPCODL"/>
    <x v="7"/>
    <s v="bhubaneswar, puri, khordha &amp; paradeep"/>
    <n v="15"/>
    <n v="0"/>
    <n v="3432"/>
    <n v="0"/>
    <n v="3.0000000000000001E-3"/>
  </r>
  <r>
    <s v="India"/>
    <x v="1"/>
    <x v="1"/>
    <x v="9"/>
    <s v="DVC"/>
    <x v="9"/>
    <s v="maithon, dhanbad"/>
    <n v="1"/>
    <n v="0"/>
    <n v="0"/>
    <n v="0"/>
    <n v="0"/>
  </r>
  <r>
    <s v="India"/>
    <x v="1"/>
    <x v="1"/>
    <x v="9"/>
    <s v="DGVCL"/>
    <x v="3"/>
    <s v="surat city, navsari, vapi-town, haldarva, bharuch east, kavadiya colony"/>
    <n v="7"/>
    <n v="1"/>
    <n v="14101"/>
    <n v="377840"/>
    <n v="0.39200000000000002"/>
  </r>
  <r>
    <s v="India"/>
    <x v="1"/>
    <x v="1"/>
    <x v="9"/>
    <s v="UHBVN"/>
    <x v="14"/>
    <s v="panchkula, karnal, kaithal, sonipat"/>
    <n v="6"/>
    <n v="0"/>
    <n v="936"/>
    <n v="0"/>
    <n v="1E-3"/>
  </r>
  <r>
    <s v="India"/>
    <x v="1"/>
    <x v="1"/>
    <x v="9"/>
    <s v="Tata Power-DDL"/>
    <x v="4"/>
    <s v="new delhi"/>
    <n v="530"/>
    <n v="2"/>
    <n v="2160000"/>
    <n v="730000"/>
    <n v="2.89"/>
  </r>
  <r>
    <s v="India"/>
    <x v="1"/>
    <x v="1"/>
    <x v="9"/>
    <s v="BRPL"/>
    <x v="4"/>
    <s v="new delhi"/>
    <n v="1208"/>
    <n v="1"/>
    <n v="2917073"/>
    <n v="384120"/>
    <n v="3.3010000000000002"/>
  </r>
  <r>
    <s v="India"/>
    <x v="1"/>
    <x v="1"/>
    <x v="9"/>
    <s v="TSNPDCL"/>
    <x v="13"/>
    <s v="adilabad, hanamkonda, kamareddy, karimnagar, khammam, mahabubabad, nirmal, nazimabad, pdeapally, warangal"/>
    <n v="1"/>
    <n v="0"/>
    <n v="223"/>
    <n v="0"/>
    <n v="0"/>
  </r>
  <r>
    <s v="India"/>
    <x v="1"/>
    <x v="1"/>
    <x v="9"/>
    <s v="BYPL"/>
    <x v="4"/>
    <s v="new delhi"/>
    <n v="982"/>
    <n v="1"/>
    <n v="1548721"/>
    <n v="287880"/>
    <n v="1.837"/>
  </r>
  <r>
    <s v="India"/>
    <x v="1"/>
    <x v="1"/>
    <x v="9"/>
    <s v="KSEB"/>
    <x v="8"/>
    <s v="thiruvananthapuram, ernakulam, kozhikode"/>
    <n v="18"/>
    <n v="1"/>
    <n v="26234"/>
    <n v="0"/>
    <n v="2.5999999999999999E-2"/>
  </r>
  <r>
    <s v="India"/>
    <x v="1"/>
    <x v="1"/>
    <x v="9"/>
    <s v="Torrent Power"/>
    <x v="3"/>
    <s v="ahemdabad"/>
    <n v="8"/>
    <n v="4"/>
    <n v="18885"/>
    <n v="1537800"/>
    <n v="1.5569999999999999"/>
  </r>
  <r>
    <s v="India"/>
    <x v="1"/>
    <x v="1"/>
    <x v="9"/>
    <s v="TSSPDCL"/>
    <x v="13"/>
    <s v="hyderabad"/>
    <n v="18"/>
    <n v="1"/>
    <n v="7383"/>
    <n v="73"/>
    <n v="7.0000000000000001E-3"/>
  </r>
  <r>
    <s v="India"/>
    <x v="1"/>
    <x v="1"/>
    <x v="9"/>
    <s v="APEPDCL"/>
    <x v="1"/>
    <s v="visakhapatnam, rajmahendravaram, west godavari, srikakulam, vizianagaram"/>
    <n v="34"/>
    <n v="0"/>
    <n v="6639"/>
    <n v="0"/>
    <n v="7.0000000000000001E-3"/>
  </r>
  <r>
    <s v="India"/>
    <x v="1"/>
    <x v="1"/>
    <x v="9"/>
    <s v="TANGEDCO"/>
    <x v="6"/>
    <s v="coimbatore, villupuram, tirunelveli, chennai north, vellore"/>
    <n v="33"/>
    <n v="0"/>
    <n v="47531"/>
    <n v="0"/>
    <n v="4.8000000000000001E-2"/>
  </r>
  <r>
    <s v="India"/>
    <x v="1"/>
    <x v="1"/>
    <x v="9"/>
    <s v="MESCOM"/>
    <x v="0"/>
    <s v="mangaluru, udupi, shivamogga, chikkamagaluru"/>
    <n v="1"/>
    <n v="0"/>
    <n v="1162"/>
    <n v="0"/>
    <n v="1E-3"/>
  </r>
  <r>
    <s v="India"/>
    <x v="1"/>
    <x v="1"/>
    <x v="9"/>
    <s v="Brihan Mumbai Electric Supply Company (BEST)"/>
    <x v="12"/>
    <s v="mumbai (best)"/>
    <n v="11"/>
    <n v="10"/>
    <n v="26861"/>
    <n v="1439790"/>
    <n v="1.4670000000000001"/>
  </r>
  <r>
    <s v="India"/>
    <x v="0"/>
    <x v="0"/>
    <x v="9"/>
    <s v="UHBVN"/>
    <x v="14"/>
    <s v="panchkula, karnal, kaithal, sonipat, ambala, kurukshetra"/>
    <n v="12"/>
    <n v="0"/>
    <n v="13880"/>
    <n v="0"/>
    <n v="1.4E-2"/>
  </r>
  <r>
    <s v="India"/>
    <x v="0"/>
    <x v="0"/>
    <x v="9"/>
    <s v="AVVNL"/>
    <x v="16"/>
    <s v="ajmer"/>
    <n v="27"/>
    <n v="0"/>
    <n v="18102"/>
    <n v="0"/>
    <n v="1.7999999999999999E-2"/>
  </r>
  <r>
    <s v="India"/>
    <x v="0"/>
    <x v="0"/>
    <x v="9"/>
    <s v="JDVVNL"/>
    <x v="16"/>
    <s v="pali"/>
    <m/>
    <m/>
    <m/>
    <m/>
    <n v="0"/>
  </r>
  <r>
    <s v="India"/>
    <x v="0"/>
    <x v="0"/>
    <x v="9"/>
    <s v="Noida Power Company Ltd. (NPCL)"/>
    <x v="15"/>
    <s v="greater noida"/>
    <n v="3"/>
    <n v="0"/>
    <n v="674"/>
    <n v="0"/>
    <n v="1E-3"/>
  </r>
  <r>
    <s v="India"/>
    <x v="0"/>
    <x v="0"/>
    <x v="9"/>
    <s v="BYPL"/>
    <x v="4"/>
    <s v="new delhi"/>
    <n v="1124"/>
    <n v="2"/>
    <n v="2148845"/>
    <n v="1001520"/>
    <n v="3.15"/>
  </r>
  <r>
    <s v="India"/>
    <x v="0"/>
    <x v="0"/>
    <x v="9"/>
    <s v="JVVNL"/>
    <x v="16"/>
    <s v="alwar, dausa, jcc, jpdc"/>
    <n v="151"/>
    <n v="10"/>
    <n v="378299"/>
    <n v="77962"/>
    <n v="0.45600000000000002"/>
  </r>
  <r>
    <s v="India"/>
    <x v="0"/>
    <x v="0"/>
    <x v="9"/>
    <s v="BRPL"/>
    <x v="4"/>
    <s v="new delhi"/>
    <n v="1756"/>
    <n v="2"/>
    <n v="4473639"/>
    <n v="1171098"/>
    <n v="5.6449999999999996"/>
  </r>
  <r>
    <s v="India"/>
    <x v="0"/>
    <x v="0"/>
    <x v="9"/>
    <s v="Tata Power-DDL"/>
    <x v="4"/>
    <s v="new delhi"/>
    <n v="635"/>
    <n v="2"/>
    <n v="2780000"/>
    <n v="1510000"/>
    <n v="4.29"/>
  </r>
  <r>
    <s v="India"/>
    <x v="0"/>
    <x v="0"/>
    <x v="9"/>
    <s v="CESC Mysore"/>
    <x v="0"/>
    <s v="mysore, mandya, hassan, kodagu"/>
    <n v="22"/>
    <n v="3"/>
    <n v="25205"/>
    <n v="170568"/>
    <n v="0.19600000000000001"/>
  </r>
  <r>
    <s v="India"/>
    <x v="0"/>
    <x v="0"/>
    <x v="9"/>
    <s v="APDCL"/>
    <x v="11"/>
    <s v="badarpur, karimganj, kokrajhar, nagaon, silchar, guwahati, tezpur"/>
    <n v="94"/>
    <n v="6"/>
    <n v="192949"/>
    <n v="18346"/>
    <n v="0.21099999999999999"/>
  </r>
  <r>
    <s v="India"/>
    <x v="0"/>
    <x v="0"/>
    <x v="9"/>
    <s v="CESC"/>
    <x v="10"/>
    <s v="kolkata"/>
    <n v="12"/>
    <n v="11"/>
    <n v="2580"/>
    <n v="246438"/>
    <n v="0.249"/>
  </r>
  <r>
    <s v="India"/>
    <x v="0"/>
    <x v="0"/>
    <x v="9"/>
    <s v="DVC"/>
    <x v="9"/>
    <s v="maithon, dhanbad"/>
    <m/>
    <m/>
    <m/>
    <m/>
    <n v="0"/>
  </r>
  <r>
    <s v="India"/>
    <x v="0"/>
    <x v="0"/>
    <x v="9"/>
    <s v="TPCODL"/>
    <x v="7"/>
    <s v="bhubaneswar, puri, khordha &amp; paradeep"/>
    <n v="15"/>
    <n v="0"/>
    <n v="4388"/>
    <n v="0"/>
    <n v="4.0000000000000001E-3"/>
  </r>
  <r>
    <s v="India"/>
    <x v="0"/>
    <x v="0"/>
    <x v="9"/>
    <s v="SBPDCL"/>
    <x v="2"/>
    <s v="patna"/>
    <n v="152"/>
    <n v="2"/>
    <n v="68274"/>
    <n v="233001"/>
    <n v="0.30099999999999999"/>
  </r>
  <r>
    <s v="India"/>
    <x v="0"/>
    <x v="0"/>
    <x v="9"/>
    <s v="NBPDCL"/>
    <x v="2"/>
    <s v="patna"/>
    <n v="167"/>
    <n v="0"/>
    <n v="14120"/>
    <n v="0"/>
    <n v="1.4E-2"/>
  </r>
  <r>
    <s v="India"/>
    <x v="0"/>
    <x v="0"/>
    <x v="9"/>
    <s v="KSEB"/>
    <x v="8"/>
    <s v="thiruvananthapuram, ernakulam, kozhikode"/>
    <n v="265"/>
    <n v="4"/>
    <n v="140330"/>
    <n v="36304"/>
    <n v="0.17699999999999999"/>
  </r>
  <r>
    <s v="India"/>
    <x v="0"/>
    <x v="0"/>
    <x v="4"/>
    <s v="HESCOM"/>
    <x v="0"/>
    <s v="hubli"/>
    <n v="24"/>
    <n v="0"/>
    <n v="15619"/>
    <n v="0"/>
    <n v="1.6E-2"/>
  </r>
  <r>
    <s v="India"/>
    <x v="0"/>
    <x v="0"/>
    <x v="9"/>
    <s v="TANGEDCO"/>
    <x v="6"/>
    <s v="coimbatore, villupuram, tirunelveli, chennai north, vellore"/>
    <m/>
    <m/>
    <m/>
    <m/>
    <n v="0"/>
  </r>
  <r>
    <s v="India"/>
    <x v="0"/>
    <x v="0"/>
    <x v="9"/>
    <s v="TSNPDCL"/>
    <x v="13"/>
    <s v="adilabad, hanamkonda, kamareddy, karimnagar, khammam, mahabubabad, nirmal, nazimabad, pdeapally, warangal"/>
    <n v="32"/>
    <n v="0"/>
    <n v="11237"/>
    <n v="0"/>
    <n v="1.0999999999999999E-2"/>
  </r>
  <r>
    <s v="India"/>
    <x v="0"/>
    <x v="0"/>
    <x v="9"/>
    <s v="TSSPDCL"/>
    <x v="13"/>
    <s v="hyderabad"/>
    <n v="82"/>
    <n v="9"/>
    <n v="56000"/>
    <n v="258000"/>
    <n v="0.314"/>
  </r>
  <r>
    <s v="India"/>
    <x v="0"/>
    <x v="0"/>
    <x v="9"/>
    <s v="APSPDCL"/>
    <x v="1"/>
    <s v="anantpur, kadapa, kurnool, nellore, tirupati"/>
    <n v="28"/>
    <n v="8"/>
    <n v="10731"/>
    <n v="727348"/>
    <n v="0.73799999999999999"/>
  </r>
  <r>
    <s v="India"/>
    <x v="0"/>
    <x v="0"/>
    <x v="9"/>
    <s v="APEPDCL"/>
    <x v="1"/>
    <s v="visakhapatnam, rajmahendravaram, west godavari, srikakulam, vizianagaram"/>
    <n v="68"/>
    <n v="0"/>
    <n v="26034"/>
    <n v="0"/>
    <n v="2.5999999999999999E-2"/>
  </r>
  <r>
    <s v="India"/>
    <x v="0"/>
    <x v="0"/>
    <x v="9"/>
    <s v="GESCOM"/>
    <x v="0"/>
    <s v="kalaburgi"/>
    <m/>
    <m/>
    <m/>
    <m/>
    <n v="0"/>
  </r>
  <r>
    <s v="India"/>
    <x v="0"/>
    <x v="0"/>
    <x v="9"/>
    <s v="HESCOM"/>
    <x v="0"/>
    <s v="hubli"/>
    <n v="9"/>
    <n v="2"/>
    <n v="6343"/>
    <n v="224"/>
    <n v="7.0000000000000001E-3"/>
  </r>
  <r>
    <s v="India"/>
    <x v="0"/>
    <x v="0"/>
    <x v="9"/>
    <s v="MESCOM"/>
    <x v="0"/>
    <s v="mangaluru, udupi, shivamogga, chikkamagaluru"/>
    <n v="67"/>
    <n v="2"/>
    <n v="16744"/>
    <n v="183930"/>
    <n v="0.20100000000000001"/>
  </r>
  <r>
    <s v="India"/>
    <x v="0"/>
    <x v="0"/>
    <x v="9"/>
    <s v="Torrent Power"/>
    <x v="3"/>
    <s v="ahemdabad"/>
    <n v="19"/>
    <n v="6"/>
    <n v="12648"/>
    <n v="1766123"/>
    <n v="1.7789999999999999"/>
  </r>
  <r>
    <s v="India"/>
    <x v="0"/>
    <x v="0"/>
    <x v="9"/>
    <s v="PGVCL"/>
    <x v="3"/>
    <s v="rajkot, surendranagar, junagadh, jamnagar, morbi, botad"/>
    <n v="25"/>
    <n v="3"/>
    <n v="21544"/>
    <n v="508455"/>
    <n v="0.53"/>
  </r>
  <r>
    <s v="India"/>
    <x v="0"/>
    <x v="0"/>
    <x v="9"/>
    <s v="DGVCL"/>
    <x v="3"/>
    <s v="surat city, navsari, vapi-town, haldarva, bharuch east, kavadiya colony"/>
    <n v="49"/>
    <n v="12"/>
    <n v="34844"/>
    <n v="1481719"/>
    <n v="1.5169999999999999"/>
  </r>
  <r>
    <s v="India"/>
    <x v="0"/>
    <x v="0"/>
    <x v="9"/>
    <s v="UGVCL"/>
    <x v="3"/>
    <s v="hebatpur, bavla(ramnagar), fedra, dholasan, asal, modasa, majadar, nugar, rangpur"/>
    <n v="24"/>
    <n v="0"/>
    <n v="12917"/>
    <n v="0"/>
    <n v="1.2999999999999999E-2"/>
  </r>
  <r>
    <s v="India"/>
    <x v="0"/>
    <x v="0"/>
    <x v="9"/>
    <s v="Brihan Mumbai Electric Supply Company (BEST)"/>
    <x v="12"/>
    <s v="mumbai (best)"/>
    <n v="37"/>
    <n v="25"/>
    <n v="175619"/>
    <n v="1839659"/>
    <n v="2.0150000000000001"/>
  </r>
  <r>
    <s v="India"/>
    <x v="0"/>
    <x v="0"/>
    <x v="9"/>
    <s v="MSEDCL"/>
    <x v="12"/>
    <s v="navi mumbai, pune, thane, nagpur"/>
    <n v="2782"/>
    <n v="17"/>
    <n v="531467"/>
    <n v="13764283"/>
    <n v="14.295999999999999"/>
  </r>
  <r>
    <s v="India"/>
    <x v="0"/>
    <x v="0"/>
    <x v="9"/>
    <m/>
    <x v="17"/>
    <s v="chandigarh"/>
    <n v="15"/>
    <n v="6"/>
    <n v="19546"/>
    <n v="493006"/>
    <n v="0.51300000000000001"/>
  </r>
  <r>
    <s v="India"/>
    <x v="0"/>
    <x v="0"/>
    <x v="9"/>
    <s v="DHBVN"/>
    <x v="14"/>
    <s v="faridabad, gurugram, hisar, rewari, sirsa, narnaul, palwal"/>
    <n v="58"/>
    <n v="0"/>
    <n v="1070260"/>
    <n v="0"/>
    <n v="1.07"/>
  </r>
  <r>
    <s v="India"/>
    <x v="0"/>
    <x v="0"/>
    <x v="8"/>
    <s v="CESC Mysore"/>
    <x v="0"/>
    <s v="mysore, mandya, hassan, kodagu"/>
    <n v="18"/>
    <n v="0"/>
    <n v="3330"/>
    <n v="0"/>
    <n v="3.0000000000000001E-3"/>
  </r>
  <r>
    <s v="India"/>
    <x v="0"/>
    <x v="0"/>
    <x v="8"/>
    <s v="CESC"/>
    <x v="10"/>
    <s v="kolkata"/>
    <n v="12"/>
    <n v="11"/>
    <n v="3799"/>
    <n v="230176"/>
    <n v="0.23400000000000001"/>
  </r>
  <r>
    <s v="India"/>
    <x v="0"/>
    <x v="0"/>
    <x v="8"/>
    <s v="PGVCL"/>
    <x v="3"/>
    <s v="rajkot, surendranagar, junagadh, jamnagar, morbi, botad"/>
    <n v="11"/>
    <n v="3"/>
    <n v="16229"/>
    <n v="386516"/>
    <n v="0.40300000000000002"/>
  </r>
  <r>
    <s v="India"/>
    <x v="0"/>
    <x v="0"/>
    <x v="8"/>
    <s v="APEPDCL"/>
    <x v="1"/>
    <s v="visakhapatnam, rajmahendravaram, west godavari, srikakulam, vizianagaram"/>
    <n v="58"/>
    <n v="0"/>
    <n v="11277"/>
    <n v="0"/>
    <n v="1.0999999999999999E-2"/>
  </r>
  <r>
    <s v="India"/>
    <x v="0"/>
    <x v="0"/>
    <x v="8"/>
    <s v="APDCL"/>
    <x v="11"/>
    <s v="badarpur, karimganj, kokrajhar, nagaon, silchar, guwahati, tezpur"/>
    <n v="76"/>
    <n v="3"/>
    <n v="111425"/>
    <n v="13650"/>
    <n v="0.125"/>
  </r>
  <r>
    <s v="India"/>
    <x v="0"/>
    <x v="0"/>
    <x v="8"/>
    <s v="TSNPDCL"/>
    <x v="13"/>
    <s v="adilabad, hanamkonda, kamareddy, karimnagar, khammam, mahabubabad, nirmal, nazimabad, pdeapally, warangal"/>
    <n v="29"/>
    <n v="0"/>
    <n v="5393"/>
    <n v="0"/>
    <n v="5.0000000000000001E-3"/>
  </r>
  <r>
    <s v="India"/>
    <x v="0"/>
    <x v="0"/>
    <x v="8"/>
    <s v="KSEB"/>
    <x v="8"/>
    <s v="thiruvananthapuram, ernakulam, kozhikode"/>
    <n v="256"/>
    <n v="4"/>
    <n v="83727"/>
    <n v="19984"/>
    <n v="0.104"/>
  </r>
  <r>
    <s v="India"/>
    <x v="0"/>
    <x v="0"/>
    <x v="8"/>
    <s v="SBPDCL"/>
    <x v="2"/>
    <s v="patna"/>
    <n v="107"/>
    <n v="0"/>
    <n v="15367"/>
    <n v="0"/>
    <n v="1.4999999999999999E-2"/>
  </r>
  <r>
    <s v="India"/>
    <x v="0"/>
    <x v="0"/>
    <x v="8"/>
    <s v="TSSPDCL"/>
    <x v="13"/>
    <s v="hyderabad"/>
    <n v="50"/>
    <n v="6"/>
    <n v="36000"/>
    <n v="105000"/>
    <n v="0.14099999999999999"/>
  </r>
  <r>
    <s v="India"/>
    <x v="0"/>
    <x v="0"/>
    <x v="8"/>
    <s v="HESCOM"/>
    <x v="0"/>
    <m/>
    <n v="5"/>
    <n v="0"/>
    <n v="3740"/>
    <n v="0"/>
    <n v="3.7399999999999998E-3"/>
  </r>
  <r>
    <s v="India"/>
    <x v="0"/>
    <x v="0"/>
    <x v="8"/>
    <s v="Tata Power-DDL"/>
    <x v="4"/>
    <s v="new delhi"/>
    <n v="621"/>
    <n v="2"/>
    <n v="3750000"/>
    <n v="1180000"/>
    <n v="4.93"/>
  </r>
  <r>
    <s v="India"/>
    <x v="0"/>
    <x v="0"/>
    <x v="8"/>
    <s v="Noida Power Company Ltd. (NPCL)"/>
    <x v="15"/>
    <s v="greater noida"/>
    <n v="2"/>
    <n v="0"/>
    <n v="8874"/>
    <n v="0"/>
    <n v="8.9999999999999993E-3"/>
  </r>
  <r>
    <s v="India"/>
    <x v="0"/>
    <x v="0"/>
    <x v="8"/>
    <s v="AVVNL"/>
    <x v="16"/>
    <s v="ajmer"/>
    <n v="22"/>
    <n v="0"/>
    <n v="7938"/>
    <n v="0"/>
    <n v="8.0000000000000002E-3"/>
  </r>
  <r>
    <s v="India"/>
    <x v="0"/>
    <x v="0"/>
    <x v="8"/>
    <s v="UHBVN"/>
    <x v="14"/>
    <s v="panchkula, karnal, kaithal, sonipat"/>
    <n v="8"/>
    <n v="0"/>
    <n v="12168"/>
    <n v="0"/>
    <n v="1.2E-2"/>
  </r>
  <r>
    <s v="India"/>
    <x v="0"/>
    <x v="0"/>
    <x v="8"/>
    <s v="NBPDCL"/>
    <x v="2"/>
    <s v="patna"/>
    <n v="107"/>
    <n v="0"/>
    <n v="15367"/>
    <n v="0"/>
    <n v="1.4999999999999999E-2"/>
  </r>
  <r>
    <s v="India"/>
    <x v="0"/>
    <x v="0"/>
    <x v="8"/>
    <s v="MESCOM"/>
    <x v="0"/>
    <s v="mangaluru, udupi, shivamogga, chikkamagaluru"/>
    <n v="63"/>
    <n v="0"/>
    <n v="4830"/>
    <n v="0"/>
    <n v="5.0000000000000001E-3"/>
  </r>
  <r>
    <s v="India"/>
    <x v="0"/>
    <x v="0"/>
    <x v="8"/>
    <s v="BRPL"/>
    <x v="4"/>
    <s v="new delhi"/>
    <n v="1615"/>
    <n v="1"/>
    <n v="3830346"/>
    <n v="881460"/>
    <n v="4.7119999999999997"/>
  </r>
  <r>
    <s v="India"/>
    <x v="0"/>
    <x v="0"/>
    <x v="8"/>
    <s v="MSEDCL"/>
    <x v="12"/>
    <s v="navi mumbai, pune, thane, nagpur"/>
    <n v="2583"/>
    <n v="17"/>
    <n v="100054"/>
    <n v="6002819"/>
    <n v="6.1029999999999998"/>
  </r>
  <r>
    <s v="India"/>
    <x v="0"/>
    <x v="0"/>
    <x v="8"/>
    <s v="Brihan Mumbai Electric Supply Company (BEST)"/>
    <x v="12"/>
    <s v="mumbai (best)"/>
    <n v="18"/>
    <n v="14"/>
    <n v="45266"/>
    <n v="1494560"/>
    <n v="1.54"/>
  </r>
  <r>
    <s v="India"/>
    <x v="0"/>
    <x v="0"/>
    <x v="8"/>
    <s v="UGVCL"/>
    <x v="3"/>
    <s v="hebatpur, bavla(ramnagar), fedra, dholasan, asal, modasa, majadar, nugar, rangpur"/>
    <n v="19"/>
    <n v="0"/>
    <n v="3130"/>
    <n v="0"/>
    <n v="3.0000000000000001E-3"/>
  </r>
  <r>
    <s v="India"/>
    <x v="0"/>
    <x v="0"/>
    <x v="8"/>
    <s v="BYPL"/>
    <x v="4"/>
    <s v="new delhi"/>
    <n v="1000"/>
    <n v="2"/>
    <n v="1597482"/>
    <n v="676650"/>
    <n v="2.274"/>
  </r>
  <r>
    <s v="India"/>
    <x v="0"/>
    <x v="0"/>
    <x v="8"/>
    <s v="APSPDCL"/>
    <x v="1"/>
    <s v="anantpur, kadapa, kurnool, nellore, tirupati"/>
    <n v="24"/>
    <n v="7"/>
    <n v="5610"/>
    <n v="272165"/>
    <n v="0.27800000000000002"/>
  </r>
  <r>
    <s v="India"/>
    <x v="1"/>
    <x v="1"/>
    <x v="10"/>
    <s v="TSNPDCL"/>
    <x v="13"/>
    <s v="adilabad, hanamkonda, kamareddy, karimnagar, khammam, mahabubabad, nirmal, nazimabad, pdeapally, warangal"/>
    <n v="1"/>
    <n v="0"/>
    <n v="286"/>
    <n v="0"/>
    <n v="0"/>
  </r>
  <r>
    <s v="India"/>
    <x v="1"/>
    <x v="1"/>
    <x v="10"/>
    <s v="TANGEDCO"/>
    <x v="6"/>
    <s v="coimbatore, villupuram, tirunelveli, chennai north, vellore"/>
    <n v="32"/>
    <n v="0"/>
    <n v="61383"/>
    <n v="0"/>
    <n v="6.0999999999999999E-2"/>
  </r>
  <r>
    <s v="India"/>
    <x v="1"/>
    <x v="1"/>
    <x v="10"/>
    <s v="KSEB"/>
    <x v="8"/>
    <s v="thiruvananthapuram, ernakulam, kozhikode"/>
    <n v="16"/>
    <n v="1"/>
    <n v="21983"/>
    <n v="15"/>
    <n v="2.1999999999999999E-2"/>
  </r>
  <r>
    <s v="India"/>
    <x v="1"/>
    <x v="1"/>
    <x v="10"/>
    <s v="BRPL"/>
    <x v="4"/>
    <s v="new delhi"/>
    <n v="1167"/>
    <n v="1"/>
    <n v="2997427"/>
    <n v="24720"/>
    <n v="3.0219999999999998"/>
  </r>
  <r>
    <s v="India"/>
    <x v="1"/>
    <x v="1"/>
    <x v="10"/>
    <s v="UHBVN"/>
    <x v="14"/>
    <s v="panchkula, karnal, kaithal, sonipat"/>
    <n v="6"/>
    <n v="0"/>
    <n v="5524"/>
    <n v="0"/>
    <n v="6.0000000000000001E-3"/>
  </r>
  <r>
    <s v="India"/>
    <x v="1"/>
    <x v="1"/>
    <x v="10"/>
    <s v="MSEDCL"/>
    <x v="12"/>
    <s v="navi mumbai, pune, thane, nagpur"/>
    <n v="48"/>
    <n v="4"/>
    <n v="1914"/>
    <n v="652588"/>
    <n v="0.65500000000000003"/>
  </r>
  <r>
    <s v="India"/>
    <x v="1"/>
    <x v="1"/>
    <x v="10"/>
    <s v="BYPL"/>
    <x v="4"/>
    <s v="new delhi"/>
    <n v="941"/>
    <n v="1"/>
    <n v="1485693"/>
    <n v="248070"/>
    <n v="1.734"/>
  </r>
  <r>
    <s v="India"/>
    <x v="1"/>
    <x v="1"/>
    <x v="10"/>
    <s v="Tata Power-DDL"/>
    <x v="4"/>
    <s v="new delhi"/>
    <n v="527"/>
    <n v="1"/>
    <n v="2290000"/>
    <n v="10000"/>
    <n v="2.2999999999999998"/>
  </r>
  <r>
    <s v="India"/>
    <x v="1"/>
    <x v="1"/>
    <x v="10"/>
    <s v="Brihan Mumbai Electric Supply Company (BEST)"/>
    <x v="12"/>
    <s v="mumbai (best)"/>
    <n v="11"/>
    <n v="10"/>
    <n v="24822"/>
    <n v="1347518"/>
    <n v="1.3720000000000001"/>
  </r>
  <r>
    <s v="India"/>
    <x v="1"/>
    <x v="1"/>
    <x v="10"/>
    <s v="UGVCL"/>
    <x v="3"/>
    <s v="hebatpur, bavla(ramnagar), fedra, dholasan, asal, modasa, majadar, nugar, rangpur"/>
    <n v="2"/>
    <n v="0"/>
    <n v="2012"/>
    <n v="0"/>
    <n v="2E-3"/>
  </r>
  <r>
    <s v="India"/>
    <x v="1"/>
    <x v="1"/>
    <x v="10"/>
    <s v="DGVCL"/>
    <x v="3"/>
    <s v="surat city, navsari, vapi-town, haldarva, bharuch east, kavadiya colony"/>
    <n v="7"/>
    <n v="1"/>
    <n v="9810"/>
    <n v="304080"/>
    <n v="0.314"/>
  </r>
  <r>
    <s v="India"/>
    <x v="1"/>
    <x v="1"/>
    <x v="10"/>
    <s v="PGVCL"/>
    <x v="3"/>
    <s v="rajkot, surendranagar, junagadh, jamnagar, morbi, botad"/>
    <n v="3"/>
    <n v="1"/>
    <n v="455"/>
    <n v="135780"/>
    <n v="0.13600000000000001"/>
  </r>
  <r>
    <s v="India"/>
    <x v="1"/>
    <x v="1"/>
    <x v="10"/>
    <s v="Noida Power Company Ltd. (NPCL)"/>
    <x v="15"/>
    <s v="greater noida"/>
    <n v="0"/>
    <n v="0"/>
    <n v="0"/>
    <n v="0"/>
    <n v="0"/>
  </r>
  <r>
    <s v="India"/>
    <x v="1"/>
    <x v="1"/>
    <x v="10"/>
    <s v="Torrent Power"/>
    <x v="3"/>
    <s v="ahemdabad"/>
    <n v="7"/>
    <n v="4"/>
    <n v="17359"/>
    <n v="1573620"/>
    <n v="1.591"/>
  </r>
  <r>
    <s v="India"/>
    <x v="1"/>
    <x v="1"/>
    <x v="10"/>
    <s v="CESC Mysore"/>
    <x v="0"/>
    <s v="mysore, mandya, hassan, kodagu"/>
    <n v="8"/>
    <n v="0"/>
    <n v="102"/>
    <n v="0"/>
    <n v="0"/>
  </r>
  <r>
    <s v="India"/>
    <x v="1"/>
    <x v="1"/>
    <x v="10"/>
    <s v="APDCL"/>
    <x v="11"/>
    <s v="badarpur, karimganj, kokrajhar, nagaon, silchar, guwahati, tezpur"/>
    <n v="9"/>
    <n v="2"/>
    <n v="18219"/>
    <n v="28573"/>
    <n v="4.7E-2"/>
  </r>
  <r>
    <s v="India"/>
    <x v="1"/>
    <x v="1"/>
    <x v="10"/>
    <s v="MESCOM"/>
    <x v="0"/>
    <s v="mangaluru, udupi, shivamogga, chikkamagaluru"/>
    <n v="0"/>
    <n v="0"/>
    <n v="0"/>
    <n v="0"/>
    <n v="0"/>
  </r>
  <r>
    <s v="India"/>
    <x v="1"/>
    <x v="1"/>
    <x v="10"/>
    <s v="APEPDCL"/>
    <x v="1"/>
    <s v="visakhapatnam, rajmahendravaram, west godavari, srikakulam, vizianagaram"/>
    <n v="34"/>
    <n v="0"/>
    <n v="7125"/>
    <n v="0"/>
    <n v="7.0000000000000001E-3"/>
  </r>
  <r>
    <s v="India"/>
    <x v="1"/>
    <x v="1"/>
    <x v="10"/>
    <s v="DVC"/>
    <x v="9"/>
    <s v="maithon, dhanbad"/>
    <n v="1"/>
    <n v="0"/>
    <n v="0"/>
    <n v="0"/>
    <n v="0"/>
  </r>
  <r>
    <s v="India"/>
    <x v="1"/>
    <x v="1"/>
    <x v="10"/>
    <s v="APSPDCL"/>
    <x v="1"/>
    <s v="anantpur, kadapa, kurnool, nellore, tirupati"/>
    <n v="11"/>
    <n v="0"/>
    <n v="2152"/>
    <n v="0"/>
    <n v="2E-3"/>
  </r>
  <r>
    <s v="India"/>
    <x v="1"/>
    <x v="1"/>
    <x v="10"/>
    <s v="CESC"/>
    <x v="10"/>
    <s v="kolkata"/>
    <n v="5"/>
    <n v="11"/>
    <n v="271"/>
    <n v="276861"/>
    <n v="0.27700000000000002"/>
  </r>
  <r>
    <s v="India"/>
    <x v="1"/>
    <x v="1"/>
    <x v="10"/>
    <s v="TSSPDCL"/>
    <x v="13"/>
    <s v="hyderabad"/>
    <n v="16"/>
    <n v="0"/>
    <n v="4817"/>
    <n v="0"/>
    <n v="5.0000000000000001E-3"/>
  </r>
  <r>
    <s v="India"/>
    <x v="0"/>
    <x v="0"/>
    <x v="10"/>
    <s v="CESC Mysore"/>
    <x v="0"/>
    <s v="mysore, mandya, hassan, kodagu"/>
    <n v="20"/>
    <n v="3"/>
    <n v="6910"/>
    <n v="222310"/>
    <n v="0.22900000000000001"/>
  </r>
  <r>
    <s v="India"/>
    <x v="0"/>
    <x v="0"/>
    <x v="10"/>
    <s v="MSEDCL"/>
    <x v="12"/>
    <s v="navi mumbai, pune, thane, nagpur"/>
    <n v="2782"/>
    <n v="17"/>
    <n v="406452"/>
    <n v="7139199"/>
    <n v="7.5460000000000003"/>
  </r>
  <r>
    <s v="India"/>
    <x v="0"/>
    <x v="0"/>
    <x v="10"/>
    <s v="BYPL"/>
    <x v="4"/>
    <s v="new delhi"/>
    <n v="1101"/>
    <n v="2"/>
    <n v="1988552"/>
    <n v="717870"/>
    <n v="2.706"/>
  </r>
  <r>
    <s v="India"/>
    <x v="0"/>
    <x v="0"/>
    <x v="10"/>
    <s v="Noida Power Company Ltd. (NPCL)"/>
    <x v="15"/>
    <s v="greater noida"/>
    <n v="3"/>
    <n v="0"/>
    <n v="198"/>
    <n v="0"/>
    <n v="0"/>
  </r>
  <r>
    <s v="India"/>
    <x v="0"/>
    <x v="0"/>
    <x v="10"/>
    <s v="TANGEDCO"/>
    <x v="6"/>
    <s v="coimbatore, villupuram, tirunelveli, chennai north, vellore"/>
    <m/>
    <m/>
    <m/>
    <m/>
    <n v="0"/>
  </r>
  <r>
    <s v="India"/>
    <x v="0"/>
    <x v="0"/>
    <x v="10"/>
    <s v="MESCOM"/>
    <x v="0"/>
    <s v="mangaluru, udupi, shivamogga, chikkamagaluru"/>
    <n v="66"/>
    <n v="1"/>
    <n v="8653"/>
    <n v="3930"/>
    <n v="1.2999999999999999E-2"/>
  </r>
  <r>
    <s v="India"/>
    <x v="0"/>
    <x v="0"/>
    <x v="10"/>
    <s v="NBPDCL"/>
    <x v="2"/>
    <s v="patna"/>
    <n v="153"/>
    <n v="0"/>
    <n v="15605"/>
    <n v="0"/>
    <n v="1.6E-2"/>
  </r>
  <r>
    <s v="India"/>
    <x v="0"/>
    <x v="0"/>
    <x v="10"/>
    <s v="HESCOM"/>
    <x v="0"/>
    <s v="hubli"/>
    <n v="8"/>
    <n v="2"/>
    <n v="3238"/>
    <n v="210"/>
    <n v="3.0000000000000001E-3"/>
  </r>
  <r>
    <s v="India"/>
    <x v="0"/>
    <x v="0"/>
    <x v="10"/>
    <s v="JDVVNL"/>
    <x v="16"/>
    <s v="pali"/>
    <m/>
    <m/>
    <m/>
    <m/>
    <n v="0"/>
  </r>
  <r>
    <s v="India"/>
    <x v="0"/>
    <x v="0"/>
    <x v="10"/>
    <s v="APEPDCL"/>
    <x v="1"/>
    <s v="visakhapatnam, rajmahendravaram, west godavari, srikakulam, vizianagaram"/>
    <n v="65"/>
    <n v="0"/>
    <n v="19666"/>
    <n v="0"/>
    <n v="0.02"/>
  </r>
  <r>
    <s v="India"/>
    <x v="0"/>
    <x v="0"/>
    <x v="10"/>
    <m/>
    <x v="17"/>
    <s v="chandigarh"/>
    <n v="15"/>
    <n v="6"/>
    <n v="30602"/>
    <n v="611232"/>
    <n v="0.64200000000000002"/>
  </r>
  <r>
    <s v="India"/>
    <x v="0"/>
    <x v="0"/>
    <x v="10"/>
    <s v="APSPDCL"/>
    <x v="1"/>
    <s v="anantpur, kadapa, kurnool, nellore, tirupati"/>
    <n v="28"/>
    <n v="7"/>
    <n v="9807"/>
    <n v="613092"/>
    <n v="0.623"/>
  </r>
  <r>
    <s v="India"/>
    <x v="0"/>
    <x v="0"/>
    <x v="10"/>
    <s v="DVC"/>
    <x v="9"/>
    <s v="maithon, dhanbad"/>
    <m/>
    <m/>
    <m/>
    <m/>
    <n v="0"/>
  </r>
  <r>
    <s v="India"/>
    <x v="0"/>
    <x v="0"/>
    <x v="10"/>
    <s v="GESCOM"/>
    <x v="0"/>
    <s v="kalaburgi"/>
    <m/>
    <m/>
    <m/>
    <m/>
    <n v="0"/>
  </r>
  <r>
    <s v="India"/>
    <x v="0"/>
    <x v="0"/>
    <x v="10"/>
    <s v="TSSPDCL"/>
    <x v="13"/>
    <s v="hyderabad"/>
    <n v="79"/>
    <n v="7"/>
    <n v="53000"/>
    <n v="243000"/>
    <n v="0.29599999999999999"/>
  </r>
  <r>
    <s v="India"/>
    <x v="0"/>
    <x v="0"/>
    <x v="10"/>
    <s v="DHBVN"/>
    <x v="14"/>
    <s v="faridabad, gurugram, hisar, rewari, sirsa, narnaul, palwal"/>
    <n v="55"/>
    <n v="0"/>
    <n v="793162"/>
    <n v="0"/>
    <n v="0.79300000000000004"/>
  </r>
  <r>
    <s v="India"/>
    <x v="0"/>
    <x v="0"/>
    <x v="10"/>
    <s v="APDCL"/>
    <x v="11"/>
    <s v="badarpur, karimganj, kokrajhar, nagaon, silchar, guwahati, tezpur"/>
    <n v="78"/>
    <n v="4"/>
    <n v="131088"/>
    <n v="17834"/>
    <n v="0.14899999999999999"/>
  </r>
  <r>
    <s v="India"/>
    <x v="0"/>
    <x v="0"/>
    <x v="10"/>
    <s v="TSNPDCL"/>
    <x v="13"/>
    <s v="adilabad, hanamkonda, kamareddy, karimnagar, khammam, mahabubabad, nirmal, nazimabad, pdeapally, warangal"/>
    <n v="32"/>
    <n v="0"/>
    <n v="13637"/>
    <n v="0"/>
    <n v="1.4E-2"/>
  </r>
  <r>
    <s v="India"/>
    <x v="0"/>
    <x v="0"/>
    <x v="10"/>
    <s v="CESC"/>
    <x v="10"/>
    <s v="kolkata"/>
    <n v="12"/>
    <n v="11"/>
    <n v="3938"/>
    <n v="246234"/>
    <n v="0.25"/>
  </r>
  <r>
    <s v="India"/>
    <x v="0"/>
    <x v="0"/>
    <x v="10"/>
    <s v="UHBVN"/>
    <x v="14"/>
    <s v="panchkula, karnal, kaithal, sonipat, ambala, kurukshetra"/>
    <n v="8"/>
    <n v="0"/>
    <n v="12393"/>
    <n v="0"/>
    <n v="1.2E-2"/>
  </r>
  <r>
    <s v="India"/>
    <x v="0"/>
    <x v="0"/>
    <x v="10"/>
    <s v="BRPL"/>
    <x v="4"/>
    <s v="new delhi"/>
    <n v="1709"/>
    <n v="2"/>
    <n v="4145784"/>
    <n v="1008822"/>
    <n v="5.1550000000000002"/>
  </r>
  <r>
    <s v="India"/>
    <x v="0"/>
    <x v="0"/>
    <x v="10"/>
    <s v="JVVNL"/>
    <x v="16"/>
    <s v="alwar, dausa, jcc, jpdc"/>
    <n v="136"/>
    <n v="8"/>
    <n v="309838"/>
    <n v="90443"/>
    <n v="0.4"/>
  </r>
  <r>
    <s v="India"/>
    <x v="0"/>
    <x v="0"/>
    <x v="10"/>
    <s v="KSEB"/>
    <x v="8"/>
    <s v="thiruvananthapuram, ernakulam, kozhikode"/>
    <n v="264"/>
    <n v="4"/>
    <n v="110296"/>
    <n v="27540"/>
    <n v="0.13800000000000001"/>
  </r>
  <r>
    <s v="India"/>
    <x v="0"/>
    <x v="0"/>
    <x v="10"/>
    <s v="AVVNL"/>
    <x v="16"/>
    <s v="ajmer"/>
    <n v="26"/>
    <n v="0"/>
    <n v="17285"/>
    <n v="0"/>
    <n v="1.7000000000000001E-2"/>
  </r>
  <r>
    <s v="India"/>
    <x v="0"/>
    <x v="0"/>
    <x v="10"/>
    <s v="UGVCL"/>
    <x v="3"/>
    <s v="hebatpur, bavla(ramnagar), fedra, dholasan, asal, modasa, majadar, nugar, rangpur"/>
    <n v="21"/>
    <n v="0"/>
    <n v="12704"/>
    <n v="0"/>
    <n v="1.2999999999999999E-2"/>
  </r>
  <r>
    <s v="India"/>
    <x v="0"/>
    <x v="0"/>
    <x v="10"/>
    <s v="SBPDCL"/>
    <x v="2"/>
    <s v="patna"/>
    <n v="136"/>
    <n v="2"/>
    <n v="65876"/>
    <n v="230952"/>
    <n v="0.29699999999999999"/>
  </r>
  <r>
    <s v="India"/>
    <x v="0"/>
    <x v="0"/>
    <x v="10"/>
    <s v="DGVCL"/>
    <x v="3"/>
    <s v="surat city, navsari, vapi-town, haldarva, bharuch east, kavadiya colony"/>
    <n v="48"/>
    <n v="12"/>
    <n v="27378"/>
    <n v="1248799"/>
    <n v="1.276"/>
  </r>
  <r>
    <s v="India"/>
    <x v="0"/>
    <x v="0"/>
    <x v="10"/>
    <s v="Tata Power-DDL"/>
    <x v="4"/>
    <s v="new delhi"/>
    <n v="628"/>
    <n v="2"/>
    <n v="3320000"/>
    <n v="1290000"/>
    <n v="4.6100000000000003"/>
  </r>
  <r>
    <s v="India"/>
    <x v="0"/>
    <x v="0"/>
    <x v="10"/>
    <s v="Brihan Mumbai Electric Supply Company (BEST)"/>
    <x v="12"/>
    <s v="mumbai (best)"/>
    <n v="30"/>
    <n v="20"/>
    <n v="102494"/>
    <n v="1745558"/>
    <n v="1.8480000000000001"/>
  </r>
  <r>
    <s v="India"/>
    <x v="0"/>
    <x v="0"/>
    <x v="10"/>
    <s v="PGVCL"/>
    <x v="3"/>
    <s v="rajkot, surendranagar, junagadh, jamnagar, morbi, botad"/>
    <n v="19"/>
    <n v="3"/>
    <n v="17529"/>
    <n v="490158"/>
    <n v="0.50800000000000001"/>
  </r>
  <r>
    <s v="India"/>
    <x v="0"/>
    <x v="0"/>
    <x v="10"/>
    <s v="Torrent Power"/>
    <x v="3"/>
    <s v="ahemdabad"/>
    <n v="17"/>
    <n v="6"/>
    <n v="10699"/>
    <n v="1867100"/>
    <n v="1.8779999999999999"/>
  </r>
  <r>
    <s v="India"/>
    <x v="1"/>
    <x v="1"/>
    <x v="4"/>
    <s v="TSNPDCL"/>
    <x v="13"/>
    <s v="adilabad, hanamkonda, kamareddy, karimnagar, khammam, mahabubabad, nirmal, nazimabad, pdeapally, warangal"/>
    <n v="18"/>
    <n v="0"/>
    <n v="1611"/>
    <n v="0"/>
    <n v="2E-3"/>
  </r>
  <r>
    <s v="India"/>
    <x v="1"/>
    <x v="1"/>
    <x v="4"/>
    <s v="Torrent Power"/>
    <x v="3"/>
    <s v="ahemdabad"/>
    <n v="9"/>
    <n v="6"/>
    <n v="7638"/>
    <n v="1555130"/>
    <n v="1.5629999999999999"/>
  </r>
  <r>
    <s v="India"/>
    <x v="1"/>
    <x v="1"/>
    <x v="4"/>
    <s v="DGVCL"/>
    <x v="3"/>
    <s v="surat city, navsari, vapi-town, haldarva, bharuch east, kavadiya colony"/>
    <n v="21"/>
    <n v="2"/>
    <n v="23128"/>
    <n v="663690"/>
    <n v="0.68700000000000006"/>
  </r>
  <r>
    <s v="India"/>
    <x v="1"/>
    <x v="1"/>
    <x v="4"/>
    <s v="CESC"/>
    <x v="10"/>
    <s v="kolkata"/>
    <n v="5"/>
    <n v="11"/>
    <n v="290"/>
    <n v="240190"/>
    <n v="0.24"/>
  </r>
  <r>
    <s v="India"/>
    <x v="1"/>
    <x v="1"/>
    <x v="4"/>
    <s v="BYPL"/>
    <x v="4"/>
    <s v="new delhi"/>
    <n v="987"/>
    <n v="2"/>
    <n v="2166170"/>
    <n v="580410"/>
    <n v="2.7469999999999999"/>
  </r>
  <r>
    <s v="India"/>
    <x v="1"/>
    <x v="1"/>
    <x v="4"/>
    <s v="UGVCL"/>
    <x v="3"/>
    <s v="hebatpur, bavla(ramnagar), fedra, dholasan, asal, modasa, majadar, nugar, rangpur"/>
    <n v="9"/>
    <n v="0"/>
    <n v="2982"/>
    <n v="0"/>
    <n v="3.0000000000000001E-3"/>
  </r>
  <r>
    <s v="India"/>
    <x v="1"/>
    <x v="1"/>
    <x v="4"/>
    <s v="Brihan Mumbai Electric Supply Company (BEST)"/>
    <x v="12"/>
    <s v="mumbai (best)"/>
    <n v="12"/>
    <n v="10"/>
    <n v="34366"/>
    <n v="1533814"/>
    <n v="1.5680000000000001"/>
  </r>
  <r>
    <s v="India"/>
    <x v="1"/>
    <x v="1"/>
    <x v="4"/>
    <s v="TPCODL"/>
    <x v="7"/>
    <s v="bhubaneswar"/>
    <n v="4"/>
    <n v="0"/>
    <n v="367"/>
    <n v="0"/>
    <n v="0"/>
  </r>
  <r>
    <s v="India"/>
    <x v="1"/>
    <x v="1"/>
    <x v="4"/>
    <s v="MSEDCL"/>
    <x v="12"/>
    <s v="navi mumbai, pune, thane, nagpur"/>
    <n v="2316"/>
    <n v="11"/>
    <n v="57598"/>
    <n v="2559687"/>
    <n v="2.617"/>
  </r>
  <r>
    <s v="India"/>
    <x v="1"/>
    <x v="1"/>
    <x v="4"/>
    <s v="MESCOM"/>
    <x v="0"/>
    <s v="mangaluru, udupi, shivamogga, chikkamagaluru"/>
    <n v="63"/>
    <n v="0"/>
    <n v="4297"/>
    <n v="0"/>
    <n v="4.0000000000000001E-3"/>
  </r>
  <r>
    <s v="India"/>
    <x v="1"/>
    <x v="1"/>
    <x v="4"/>
    <s v="BRPL"/>
    <x v="4"/>
    <s v="new delhi"/>
    <n v="1475"/>
    <n v="1"/>
    <n v="2994280"/>
    <n v="826320"/>
    <n v="3.8210000000000002"/>
  </r>
  <r>
    <s v="India"/>
    <x v="1"/>
    <x v="1"/>
    <x v="4"/>
    <s v="UHBVN"/>
    <x v="14"/>
    <s v="panchkula, karnal, kaithal, sonipat"/>
    <n v="8"/>
    <n v="0"/>
    <n v="10384"/>
    <n v="0"/>
    <n v="1.0383999999999999E-2"/>
  </r>
  <r>
    <s v="India"/>
    <x v="1"/>
    <x v="1"/>
    <x v="4"/>
    <s v="TSSPDCL"/>
    <x v="13"/>
    <s v="hyderabad"/>
    <n v="33"/>
    <n v="5"/>
    <n v="27339"/>
    <n v="13289"/>
    <n v="4.1000000000000002E-2"/>
  </r>
  <r>
    <s v="India"/>
    <x v="1"/>
    <x v="1"/>
    <x v="4"/>
    <s v="DVC"/>
    <x v="9"/>
    <s v="maithon, dhanbad"/>
    <n v="1"/>
    <n v="0"/>
    <n v="0"/>
    <n v="0"/>
    <n v="0"/>
  </r>
  <r>
    <s v="India"/>
    <x v="1"/>
    <x v="1"/>
    <x v="4"/>
    <s v="JDVVNL"/>
    <x v="16"/>
    <s v="pali"/>
    <n v="1"/>
    <n v="0"/>
    <n v="1000"/>
    <n v="0"/>
    <n v="1E-3"/>
  </r>
  <r>
    <s v="India"/>
    <x v="1"/>
    <x v="1"/>
    <x v="4"/>
    <s v="Noida Power Company Ltd. (NPCL)"/>
    <x v="15"/>
    <s v="greater noida"/>
    <n v="1"/>
    <n v="0"/>
    <n v="1525"/>
    <n v="0"/>
    <n v="2E-3"/>
  </r>
  <r>
    <s v="India"/>
    <x v="1"/>
    <x v="1"/>
    <x v="4"/>
    <s v="SBPDCL"/>
    <x v="2"/>
    <s v="patna"/>
    <n v="20"/>
    <n v="0"/>
    <n v="1631"/>
    <n v="0"/>
    <n v="2E-3"/>
  </r>
  <r>
    <s v="India"/>
    <x v="1"/>
    <x v="1"/>
    <x v="4"/>
    <s v="KSEB"/>
    <x v="8"/>
    <s v="thiruvananthapuram, ernakulam, kozhikode"/>
    <n v="43"/>
    <n v="3"/>
    <n v="47479"/>
    <n v="31960"/>
    <n v="7.9000000000000001E-2"/>
  </r>
  <r>
    <s v="India"/>
    <x v="1"/>
    <x v="1"/>
    <x v="4"/>
    <s v="TANGEDCO"/>
    <x v="6"/>
    <s v="coimbatore, villupuram, tirunelveli, chennai north, vellore"/>
    <n v="35"/>
    <n v="0"/>
    <n v="58497"/>
    <n v="0"/>
    <n v="5.8000000000000003E-2"/>
  </r>
  <r>
    <s v="India"/>
    <x v="1"/>
    <x v="1"/>
    <x v="4"/>
    <s v="APSPDCL"/>
    <x v="1"/>
    <s v="anantpur, kadapa, kurnool, nellore, tirupati"/>
    <n v="19"/>
    <n v="7"/>
    <n v="4010"/>
    <n v="81752"/>
    <n v="8.5999999999999993E-2"/>
  </r>
  <r>
    <s v="India"/>
    <x v="1"/>
    <x v="1"/>
    <x v="4"/>
    <s v="APEPDCL"/>
    <x v="1"/>
    <s v="visakhapatnam, rajmahendravaram, west godavari, srikakulam, vizianagaram"/>
    <n v="45"/>
    <n v="0"/>
    <n v="6267"/>
    <n v="0"/>
    <n v="6.0000000000000001E-3"/>
  </r>
  <r>
    <s v="India"/>
    <x v="1"/>
    <x v="1"/>
    <x v="4"/>
    <s v="APDCL"/>
    <x v="11"/>
    <s v="badarpur, karimganj, kokrajhar, nagaon, silchar, guwahati, tezpur"/>
    <n v="30"/>
    <n v="3"/>
    <n v="41245"/>
    <n v="26869"/>
    <n v="6.8000000000000005E-2"/>
  </r>
  <r>
    <s v="India"/>
    <x v="1"/>
    <x v="1"/>
    <x v="4"/>
    <s v="Tata Power-DDL"/>
    <x v="4"/>
    <s v="new delhi"/>
    <n v="584"/>
    <n v="2"/>
    <n v="2680000"/>
    <n v="880000"/>
    <n v="3.56"/>
  </r>
  <r>
    <s v="India"/>
    <x v="1"/>
    <x v="1"/>
    <x v="4"/>
    <s v="CESC Mysore"/>
    <x v="0"/>
    <s v="mysore, mandya, hassan, kodagu"/>
    <n v="17"/>
    <n v="0"/>
    <n v="1201"/>
    <n v="0"/>
    <n v="1E-3"/>
  </r>
  <r>
    <s v="India"/>
    <x v="1"/>
    <x v="1"/>
    <x v="4"/>
    <s v="PGVCL"/>
    <x v="3"/>
    <s v="rajkot, surendranagar, junagadh, jamnagar, morbi, botad"/>
    <n v="8"/>
    <n v="3"/>
    <n v="17370"/>
    <n v="238780"/>
    <n v="0.25600000000000001"/>
  </r>
  <r>
    <s v="India"/>
    <x v="1"/>
    <x v="1"/>
    <x v="4"/>
    <s v="NBPDCL"/>
    <x v="2"/>
    <s v="patna"/>
    <n v="20"/>
    <n v="0"/>
    <n v="1631"/>
    <n v="0"/>
    <n v="2E-3"/>
  </r>
  <r>
    <s v="India"/>
    <x v="0"/>
    <x v="0"/>
    <x v="4"/>
    <s v="Noida Power Company Ltd. (NPCL)"/>
    <x v="15"/>
    <s v="greater noida"/>
    <n v="5"/>
    <n v="0"/>
    <n v="9863"/>
    <n v="0"/>
    <n v="0.01"/>
  </r>
  <r>
    <s v="India"/>
    <x v="0"/>
    <x v="0"/>
    <x v="4"/>
    <s v="Tata Power-DDL"/>
    <x v="4"/>
    <s v="new delhi"/>
    <n v="725"/>
    <n v="6"/>
    <n v="3160000"/>
    <n v="4520000"/>
    <n v="7.68"/>
  </r>
  <r>
    <s v="India"/>
    <x v="0"/>
    <x v="0"/>
    <x v="4"/>
    <s v="DVC"/>
    <x v="9"/>
    <s v="maithon, dhanbad"/>
    <m/>
    <n v="0"/>
    <n v="3590"/>
    <n v="0"/>
    <n v="0"/>
  </r>
  <r>
    <s v="India"/>
    <x v="0"/>
    <x v="0"/>
    <x v="4"/>
    <s v="PGVCL"/>
    <x v="3"/>
    <s v="rajkot, surendranagar, junagadh, jamnagar, morbi, botad"/>
    <n v="35"/>
    <n v="3"/>
    <n v="46484"/>
    <n v="238780"/>
    <n v="0.28499999999999998"/>
  </r>
  <r>
    <s v="India"/>
    <x v="0"/>
    <x v="0"/>
    <x v="4"/>
    <s v="CESC"/>
    <x v="10"/>
    <s v="kolkata"/>
    <n v="12"/>
    <n v="11"/>
    <n v="3492"/>
    <n v="191502"/>
    <n v="0.19500000000000001"/>
  </r>
  <r>
    <s v="India"/>
    <x v="0"/>
    <x v="0"/>
    <x v="4"/>
    <s v="UGVCL"/>
    <x v="3"/>
    <s v="surat city, navsari, vapi-town, haldarva, bharuch east, kavadiya colony"/>
    <n v="53"/>
    <n v="13"/>
    <n v="51912"/>
    <n v="1592639"/>
    <n v="1.645"/>
  </r>
  <r>
    <s v="India"/>
    <x v="0"/>
    <x v="0"/>
    <x v="4"/>
    <s v="GESCOM"/>
    <x v="0"/>
    <s v="kalaburgi"/>
    <n v="1"/>
    <n v="0"/>
    <n v="1933"/>
    <n v="0"/>
    <n v="2E-3"/>
  </r>
  <r>
    <s v="India"/>
    <x v="0"/>
    <x v="0"/>
    <x v="4"/>
    <s v="APDCL"/>
    <x v="11"/>
    <s v="badarpur, karimganj, kokrajhar, nagaon, silchar, guwahati, tezpur"/>
    <m/>
    <n v="10"/>
    <n v="219564"/>
    <n v="19433"/>
    <n v="0.23899699999999999"/>
  </r>
  <r>
    <s v="India"/>
    <x v="0"/>
    <x v="0"/>
    <x v="4"/>
    <s v="UGVCL"/>
    <x v="3"/>
    <s v="hebatpur, bavla (ramnagar), fedra, dholasan, asal, modasa, majadar, nugar, rangpur"/>
    <n v="33"/>
    <n v="0"/>
    <n v="21119"/>
    <n v="0"/>
    <n v="2.1000000000000001E-2"/>
  </r>
  <r>
    <s v="India"/>
    <x v="0"/>
    <x v="0"/>
    <x v="4"/>
    <s v="APEPDCL"/>
    <x v="1"/>
    <s v="visakhapatnam, rajmahendravaram, west godavari, srikakulam, vizianagaram"/>
    <n v="75"/>
    <n v="0"/>
    <n v="29338"/>
    <n v="0"/>
    <n v="2.9000000000000001E-2"/>
  </r>
  <r>
    <s v="India"/>
    <x v="0"/>
    <x v="0"/>
    <x v="4"/>
    <s v="Brihan Mumbai Electric Supply Company (BEST)"/>
    <x v="12"/>
    <s v="mumbai (best)"/>
    <n v="405"/>
    <n v="40"/>
    <n v="472803"/>
    <n v="2030902"/>
    <n v="2.504"/>
  </r>
  <r>
    <s v="India"/>
    <x v="0"/>
    <x v="0"/>
    <x v="4"/>
    <s v="KSEB"/>
    <x v="8"/>
    <s v="thiruvananthapuram, ernakulam, kozhikode"/>
    <m/>
    <n v="5"/>
    <n v="144612"/>
    <n v="31300"/>
    <n v="0.17591200000000001"/>
  </r>
  <r>
    <s v="India"/>
    <x v="0"/>
    <x v="0"/>
    <x v="4"/>
    <s v="MSEDCL"/>
    <x v="12"/>
    <s v="navi mumbai, pune, thane, nagpur"/>
    <n v="2782"/>
    <n v="17"/>
    <n v="673749"/>
    <n v="7860990"/>
    <n v="8.5350000000000001"/>
  </r>
  <r>
    <s v="India"/>
    <x v="0"/>
    <x v="0"/>
    <x v="4"/>
    <s v="APSPDCL"/>
    <x v="1"/>
    <s v="anantpur, kadapa, kurnool, nellore, tirupati"/>
    <n v="31"/>
    <n v="8"/>
    <n v="15149"/>
    <n v="1269144"/>
    <n v="1.284"/>
  </r>
  <r>
    <s v="India"/>
    <x v="0"/>
    <x v="0"/>
    <x v="4"/>
    <m/>
    <x v="17"/>
    <s v="chandigarh"/>
    <m/>
    <n v="7"/>
    <n v="80946"/>
    <n v="670686"/>
    <n v="0.75163199999999997"/>
  </r>
  <r>
    <s v="India"/>
    <x v="0"/>
    <x v="0"/>
    <x v="4"/>
    <s v="NBPDCL"/>
    <x v="2"/>
    <s v="patna"/>
    <n v="234"/>
    <n v="0"/>
    <n v="31217"/>
    <n v="0"/>
    <n v="3.1E-2"/>
  </r>
  <r>
    <s v="India"/>
    <x v="0"/>
    <x v="0"/>
    <x v="4"/>
    <s v="DHBVN"/>
    <x v="14"/>
    <s v="faridabad, gurugram, hisar, rewari, sirsa, narnaul, palwal"/>
    <n v="85"/>
    <n v="0"/>
    <n v="1564088"/>
    <n v="0"/>
    <n v="1.5640000000000001"/>
  </r>
  <r>
    <s v="India"/>
    <x v="0"/>
    <x v="0"/>
    <x v="4"/>
    <s v="MESCOM"/>
    <x v="0"/>
    <s v="mangaluru, udupi, shivamogga, chikkamagaluru"/>
    <n v="69"/>
    <n v="2"/>
    <n v="6883"/>
    <n v="78120"/>
    <n v="8.5000000000000006E-2"/>
  </r>
  <r>
    <s v="India"/>
    <x v="0"/>
    <x v="0"/>
    <x v="4"/>
    <s v="UHBVN"/>
    <x v="14"/>
    <s v="panchkula, karnal, kaithal, sonipat, ambala, kurukshetra"/>
    <n v="24"/>
    <n v="0"/>
    <n v="42792"/>
    <n v="0"/>
    <n v="4.2999999999999997E-2"/>
  </r>
  <r>
    <s v="India"/>
    <x v="0"/>
    <x v="0"/>
    <x v="4"/>
    <s v="TSNPDCL"/>
    <x v="13"/>
    <s v="adilabad, hanamkonda, kamareddy, karimnagar, khammam, mahabubabad, nirmal, nazimabad, pdeapally, warangal"/>
    <n v="36"/>
    <n v="0"/>
    <n v="12780"/>
    <n v="0"/>
    <n v="1.2999999999999999E-2"/>
  </r>
  <r>
    <s v="India"/>
    <x v="0"/>
    <x v="0"/>
    <x v="4"/>
    <s v="AVVNL"/>
    <x v="16"/>
    <s v="ajmer"/>
    <m/>
    <n v="0"/>
    <n v="17127"/>
    <n v="0"/>
    <n v="1.7127E-2"/>
  </r>
  <r>
    <s v="India"/>
    <x v="0"/>
    <x v="0"/>
    <x v="4"/>
    <s v="SBPDCL"/>
    <x v="2"/>
    <s v="patna"/>
    <n v="352"/>
    <n v="2"/>
    <n v="290230"/>
    <n v="177640"/>
    <n v="0.46800000000000003"/>
  </r>
  <r>
    <s v="India"/>
    <x v="0"/>
    <x v="0"/>
    <x v="4"/>
    <s v="JDVVNL"/>
    <x v="16"/>
    <s v="pali"/>
    <m/>
    <n v="11"/>
    <n v="430496"/>
    <n v="83625"/>
    <n v="0.51412100000000005"/>
  </r>
  <r>
    <s v="India"/>
    <x v="0"/>
    <x v="0"/>
    <x v="4"/>
    <s v="CESC Mysore"/>
    <x v="0"/>
    <s v="mysore, mandya, hassan, kodagu"/>
    <n v="26"/>
    <n v="3"/>
    <n v="15274"/>
    <n v="225900"/>
    <n v="0.24099999999999999"/>
  </r>
  <r>
    <s v="India"/>
    <x v="0"/>
    <x v="0"/>
    <x v="4"/>
    <s v="JVVNL"/>
    <x v="16"/>
    <s v="alwar, dausa, jcc, jpdc"/>
    <m/>
    <n v="11"/>
    <n v="430496"/>
    <n v="83625"/>
    <n v="0.51412100000000005"/>
  </r>
  <r>
    <s v="India"/>
    <x v="0"/>
    <x v="0"/>
    <x v="4"/>
    <s v="BESCOM"/>
    <x v="0"/>
    <s v="bangalore, davangere, chitradurga, tumkuru, kolar"/>
    <n v="308"/>
    <n v="0"/>
    <n v="245073"/>
    <n v="0"/>
    <n v="0.245"/>
  </r>
  <r>
    <s v="India"/>
    <x v="0"/>
    <x v="0"/>
    <x v="4"/>
    <s v="BYPL"/>
    <x v="4"/>
    <s v="new delhi"/>
    <n v="1268"/>
    <n v="3"/>
    <n v="2612813"/>
    <n v="1602760"/>
    <n v="4.2160000000000002"/>
  </r>
  <r>
    <s v="India"/>
    <x v="0"/>
    <x v="0"/>
    <x v="4"/>
    <s v="Torrent Power"/>
    <x v="3"/>
    <s v="ahemdabad"/>
    <n v="33"/>
    <n v="8"/>
    <n v="19193"/>
    <n v="1473998"/>
    <n v="1.4930000000000001"/>
  </r>
  <r>
    <s v="India"/>
    <x v="0"/>
    <x v="0"/>
    <x v="4"/>
    <s v="BRPL"/>
    <x v="4"/>
    <s v="new delhi"/>
    <n v="1975"/>
    <n v="3"/>
    <n v="4969180"/>
    <n v="2440860"/>
    <n v="7.41"/>
  </r>
  <r>
    <s v="India"/>
    <x v="0"/>
    <x v="0"/>
    <x v="4"/>
    <s v="TSSPDCL"/>
    <x v="13"/>
    <s v="hyderabad"/>
    <m/>
    <n v="9"/>
    <n v="90000"/>
    <n v="320000"/>
    <n v="0.41"/>
  </r>
  <r>
    <s v="India"/>
    <x v="1"/>
    <x v="1"/>
    <x v="11"/>
    <s v="NBPDCL"/>
    <x v="2"/>
    <s v="patna"/>
    <n v="8"/>
    <n v="0"/>
    <n v="160"/>
    <n v="0"/>
    <n v="0"/>
  </r>
  <r>
    <s v="India"/>
    <x v="1"/>
    <x v="1"/>
    <x v="11"/>
    <s v="CESC Mysore"/>
    <x v="0"/>
    <s v="mysore, mandya, hassan, kodagu"/>
    <n v="11"/>
    <n v="0"/>
    <n v="960"/>
    <n v="0"/>
    <n v="1E-3"/>
  </r>
  <r>
    <s v="India"/>
    <x v="1"/>
    <x v="1"/>
    <x v="11"/>
    <s v="Torrent Power"/>
    <x v="3"/>
    <s v="ahemdabad"/>
    <n v="9"/>
    <n v="6"/>
    <n v="11612"/>
    <n v="1506831"/>
    <n v="1.518"/>
  </r>
  <r>
    <s v="India"/>
    <x v="1"/>
    <x v="1"/>
    <x v="11"/>
    <s v="APEPDCL"/>
    <x v="1"/>
    <s v="visakhapatnam, rajmahendravaram, west godavari, srikakulam, vizianagaram"/>
    <n v="38"/>
    <n v="0"/>
    <n v="5379"/>
    <n v="0"/>
    <n v="5.0000000000000001E-3"/>
  </r>
  <r>
    <s v="India"/>
    <x v="1"/>
    <x v="1"/>
    <x v="11"/>
    <s v="DGVCL"/>
    <x v="3"/>
    <s v="surat city, navsari, vapi-town, haldarva, bharuch east, kavadiya colony"/>
    <n v="18"/>
    <n v="1"/>
    <n v="16939"/>
    <n v="627860"/>
    <n v="0.64500000000000002"/>
  </r>
  <r>
    <s v="India"/>
    <x v="1"/>
    <x v="1"/>
    <x v="11"/>
    <s v="HESCOM"/>
    <x v="0"/>
    <m/>
    <n v="1"/>
    <n v="0"/>
    <n v="16"/>
    <n v="0"/>
    <s v="2e-05"/>
  </r>
  <r>
    <s v="India"/>
    <x v="1"/>
    <x v="1"/>
    <x v="11"/>
    <s v="TANGEDCO"/>
    <x v="6"/>
    <s v="coimbatore, villupuram, tirunelveli, chennai north, vellore"/>
    <n v="35"/>
    <n v="0"/>
    <n v="41485"/>
    <n v="0"/>
    <n v="4.1000000000000002E-2"/>
  </r>
  <r>
    <s v="India"/>
    <x v="1"/>
    <x v="1"/>
    <x v="11"/>
    <s v="APDCL"/>
    <x v="11"/>
    <s v="badarpur, karimganj, kokrajhar, nagaon, silchar, guwahati, tezpur"/>
    <n v="25"/>
    <n v="2"/>
    <n v="36632"/>
    <n v="23912"/>
    <n v="6.0999999999999999E-2"/>
  </r>
  <r>
    <s v="India"/>
    <x v="1"/>
    <x v="1"/>
    <x v="11"/>
    <s v="MESCOM"/>
    <x v="0"/>
    <s v="mangaluru, udupi, shivamogga, chikkamagaluru"/>
    <n v="63"/>
    <n v="0"/>
    <n v="5058"/>
    <n v="0"/>
    <n v="5.0000000000000001E-3"/>
  </r>
  <r>
    <s v="India"/>
    <x v="1"/>
    <x v="1"/>
    <x v="11"/>
    <s v="KSEB"/>
    <x v="8"/>
    <s v="thiruvananthapuram, ernakulam, kozhikode"/>
    <n v="41"/>
    <n v="3"/>
    <n v="40968"/>
    <n v="30560"/>
    <n v="7.1999999999999995E-2"/>
  </r>
  <r>
    <s v="India"/>
    <x v="1"/>
    <x v="1"/>
    <x v="11"/>
    <s v="APSPDCL"/>
    <x v="1"/>
    <s v="anantpur, kadapa, kurnool, nellore, tirupati"/>
    <n v="11"/>
    <n v="7"/>
    <n v="2089"/>
    <n v="40234"/>
    <n v="4.2000000000000003E-2"/>
  </r>
  <r>
    <s v="India"/>
    <x v="1"/>
    <x v="1"/>
    <x v="11"/>
    <s v="UGVCL"/>
    <x v="3"/>
    <s v="hebatpur, bavla(ramnagar), fedra, dholasan, asal, modasa, majadar, nugar, rangpur"/>
    <n v="9"/>
    <n v="0"/>
    <n v="7012"/>
    <n v="0"/>
    <n v="7.0000000000000001E-3"/>
  </r>
  <r>
    <s v="India"/>
    <x v="1"/>
    <x v="1"/>
    <x v="11"/>
    <s v="PGVCL"/>
    <x v="3"/>
    <s v="rajkot, surendranagar, junagadh, jamnagar, morbi, botad"/>
    <n v="7"/>
    <n v="3"/>
    <n v="16857"/>
    <n v="202740"/>
    <n v="0.22"/>
  </r>
  <r>
    <s v="India"/>
    <x v="1"/>
    <x v="1"/>
    <x v="11"/>
    <s v="Noida Power Company Ltd. (NPCL)"/>
    <x v="15"/>
    <s v="greater noida"/>
    <n v="1"/>
    <n v="0"/>
    <n v="1417"/>
    <n v="0"/>
    <n v="1E-3"/>
  </r>
  <r>
    <s v="India"/>
    <x v="1"/>
    <x v="1"/>
    <x v="11"/>
    <s v="UHBVN"/>
    <x v="14"/>
    <s v="panchkula, karnal, kaithal, sonipat"/>
    <n v="8"/>
    <n v="0"/>
    <n v="4251"/>
    <n v="0"/>
    <n v="4.0000000000000001E-3"/>
  </r>
  <r>
    <s v="India"/>
    <x v="1"/>
    <x v="1"/>
    <x v="11"/>
    <s v="BYPL"/>
    <x v="4"/>
    <s v="new delhi"/>
    <n v="984"/>
    <n v="2"/>
    <n v="1693404"/>
    <n v="638670"/>
    <n v="2.3319999999999999"/>
  </r>
  <r>
    <s v="India"/>
    <x v="1"/>
    <x v="1"/>
    <x v="11"/>
    <s v="DVC"/>
    <x v="9"/>
    <s v="maithon, dhanbad"/>
    <n v="1"/>
    <n v="0"/>
    <n v="0"/>
    <n v="0"/>
    <n v="0"/>
  </r>
  <r>
    <s v="India"/>
    <x v="1"/>
    <x v="1"/>
    <x v="11"/>
    <s v="Tata Power-DDL"/>
    <x v="4"/>
    <s v="new delhi"/>
    <n v="552"/>
    <n v="2"/>
    <n v="2560000"/>
    <n v="890000"/>
    <n v="3.45"/>
  </r>
  <r>
    <s v="India"/>
    <x v="1"/>
    <x v="1"/>
    <x v="11"/>
    <s v="SBPDCL"/>
    <x v="2"/>
    <s v="patna"/>
    <n v="8"/>
    <n v="0"/>
    <n v="160"/>
    <n v="0"/>
    <n v="0"/>
  </r>
  <r>
    <s v="India"/>
    <x v="1"/>
    <x v="1"/>
    <x v="11"/>
    <s v="TSNPDCL"/>
    <x v="13"/>
    <s v="adilabad, hanamkonda, kamareddy, karimnagar, khammam, mahabubabad, nirmal, nazimabad, pdeapally, warangal"/>
    <n v="13"/>
    <n v="0"/>
    <n v="620"/>
    <n v="0"/>
    <n v="1E-3"/>
  </r>
  <r>
    <s v="India"/>
    <x v="1"/>
    <x v="1"/>
    <x v="11"/>
    <s v="BRPL"/>
    <x v="4"/>
    <s v="new delhi"/>
    <n v="1410"/>
    <n v="1"/>
    <n v="3124731"/>
    <n v="1197840"/>
    <n v="4.3230000000000004"/>
  </r>
  <r>
    <s v="India"/>
    <x v="1"/>
    <x v="1"/>
    <x v="11"/>
    <s v="TPCODL"/>
    <x v="7"/>
    <s v="bhubaneswar"/>
    <n v="3"/>
    <n v="0"/>
    <n v="36"/>
    <n v="0"/>
    <n v="0"/>
  </r>
  <r>
    <s v="India"/>
    <x v="1"/>
    <x v="1"/>
    <x v="11"/>
    <s v="CESC"/>
    <x v="10"/>
    <s v="kolkata"/>
    <n v="5"/>
    <n v="11"/>
    <n v="320"/>
    <n v="257298"/>
    <n v="0.25800000000000001"/>
  </r>
  <r>
    <s v="India"/>
    <x v="1"/>
    <x v="1"/>
    <x v="11"/>
    <s v="MSEDCL"/>
    <x v="12"/>
    <s v="navi mumbai, pune, thane, nagpur"/>
    <n v="2316"/>
    <n v="11"/>
    <n v="125319"/>
    <n v="5192364"/>
    <n v="5.3179999999999996"/>
  </r>
  <r>
    <s v="India"/>
    <x v="1"/>
    <x v="1"/>
    <x v="11"/>
    <s v="TSSPDCL"/>
    <x v="13"/>
    <s v="hyderabad"/>
    <n v="28"/>
    <n v="3"/>
    <n v="19325"/>
    <n v="6000"/>
    <n v="2.5000000000000001E-2"/>
  </r>
  <r>
    <s v="India"/>
    <x v="1"/>
    <x v="1"/>
    <x v="11"/>
    <s v="Brihan Mumbai Electric Supply Company (BEST)"/>
    <x v="12"/>
    <s v="mumbai (best)"/>
    <n v="11"/>
    <n v="10"/>
    <n v="31392"/>
    <n v="1415921"/>
    <n v="1.4470000000000001"/>
  </r>
  <r>
    <s v="India"/>
    <x v="0"/>
    <x v="0"/>
    <x v="11"/>
    <s v="APSPDCL"/>
    <x v="1"/>
    <s v="anantpur, kadapa, kurnool, nellore, tirupati"/>
    <n v="30"/>
    <n v="8"/>
    <n v="12074"/>
    <n v="1181724"/>
    <n v="1.194"/>
  </r>
  <r>
    <s v="India"/>
    <x v="0"/>
    <x v="0"/>
    <x v="11"/>
    <s v="APEPDCL"/>
    <x v="1"/>
    <s v="visakhapatnam, rajmahendravaram, west godavari, srikakulam, vizianagaram"/>
    <n v="75"/>
    <n v="0"/>
    <n v="34043"/>
    <n v="0"/>
    <n v="3.4000000000000002E-2"/>
  </r>
  <r>
    <s v="India"/>
    <x v="0"/>
    <x v="0"/>
    <x v="11"/>
    <s v="BESCOM"/>
    <x v="0"/>
    <s v="bangalore, davangere, chitradurga, tumkuru, kolar"/>
    <n v="302"/>
    <n v="0"/>
    <n v="237260"/>
    <n v="0"/>
    <n v="0.23699999999999999"/>
  </r>
  <r>
    <s v="India"/>
    <x v="0"/>
    <x v="0"/>
    <x v="11"/>
    <s v="GESCOM"/>
    <x v="0"/>
    <s v="kalaburgi"/>
    <n v="1"/>
    <n v="0"/>
    <n v="1593"/>
    <n v="0"/>
    <n v="2E-3"/>
  </r>
  <r>
    <s v="India"/>
    <x v="0"/>
    <x v="0"/>
    <x v="11"/>
    <s v="HESCOM"/>
    <x v="0"/>
    <s v="hubli"/>
    <n v="23"/>
    <n v="0"/>
    <n v="15115"/>
    <n v="0"/>
    <n v="1.4999999999999999E-2"/>
  </r>
  <r>
    <s v="India"/>
    <x v="0"/>
    <x v="0"/>
    <x v="11"/>
    <s v="MESCOM"/>
    <x v="0"/>
    <s v="mangaluru, udupi, shivamogga, chikkamagaluru"/>
    <n v="69"/>
    <n v="2"/>
    <n v="9522"/>
    <n v="77730"/>
    <n v="8.6999999999999994E-2"/>
  </r>
  <r>
    <s v="India"/>
    <x v="0"/>
    <x v="0"/>
    <x v="11"/>
    <s v="CESC Mysore"/>
    <x v="0"/>
    <s v="mysore, mandya, hassan, kodagu"/>
    <n v="25"/>
    <n v="3"/>
    <n v="11565"/>
    <n v="199020"/>
    <n v="0.21099999999999999"/>
  </r>
  <r>
    <s v="India"/>
    <x v="0"/>
    <x v="0"/>
    <x v="11"/>
    <s v="Torrent Power"/>
    <x v="3"/>
    <s v="ahemdabad"/>
    <n v="31"/>
    <n v="8"/>
    <n v="15417"/>
    <n v="1737566"/>
    <n v="1.7529999999999999"/>
  </r>
  <r>
    <s v="India"/>
    <x v="0"/>
    <x v="0"/>
    <x v="11"/>
    <s v="PGVCL"/>
    <x v="3"/>
    <s v="rajkot, surendranagar, junagadh, jamnagar, morbi, botad"/>
    <n v="35"/>
    <n v="3"/>
    <n v="47756"/>
    <n v="468337"/>
    <n v="0.51600000000000001"/>
  </r>
  <r>
    <s v="India"/>
    <x v="0"/>
    <x v="0"/>
    <x v="11"/>
    <s v="UGVCL"/>
    <x v="3"/>
    <s v="surat city, navsari, vapi-town, haldarva, bharuch east, kavadiya colony"/>
    <n v="53"/>
    <n v="13"/>
    <n v="51763"/>
    <n v="1597021"/>
    <n v="1.649"/>
  </r>
  <r>
    <s v="India"/>
    <x v="0"/>
    <x v="0"/>
    <x v="11"/>
    <s v="UGVCL"/>
    <x v="3"/>
    <s v="hebatpur, bavla (ramnagar), fedra, dholasan, asal, modasa, majadar, nugar, rangpur"/>
    <n v="31"/>
    <n v="0"/>
    <n v="13607"/>
    <n v="0"/>
    <n v="1.4E-2"/>
  </r>
  <r>
    <s v="India"/>
    <x v="0"/>
    <x v="0"/>
    <x v="11"/>
    <s v="Brihan Mumbai Electric Supply Company (BEST)"/>
    <x v="12"/>
    <s v="mumbai (best)"/>
    <n v="258"/>
    <n v="40"/>
    <n v="390484"/>
    <n v="1826358"/>
    <n v="2.2170000000000001"/>
  </r>
  <r>
    <s v="India"/>
    <x v="0"/>
    <x v="0"/>
    <x v="11"/>
    <s v="MSEDCL"/>
    <x v="12"/>
    <s v="navi mumbai, pune, thane, nagpur"/>
    <n v="2782"/>
    <n v="17"/>
    <n v="627737"/>
    <n v="8190369"/>
    <n v="8.8179999999999996"/>
  </r>
  <r>
    <s v="India"/>
    <x v="0"/>
    <x v="0"/>
    <x v="11"/>
    <m/>
    <x v="17"/>
    <s v="chandigarh"/>
    <m/>
    <n v="7"/>
    <n v="80946"/>
    <n v="670686"/>
    <n v="0.75163199999999997"/>
  </r>
  <r>
    <s v="India"/>
    <x v="0"/>
    <x v="0"/>
    <x v="11"/>
    <s v="DHBVN"/>
    <x v="14"/>
    <s v="faridabad, gurugram, hisar, rewari, sirsa, narnaul, palwal"/>
    <n v="80"/>
    <n v="0"/>
    <n v="1135212"/>
    <n v="0"/>
    <n v="1.135"/>
  </r>
  <r>
    <s v="India"/>
    <x v="0"/>
    <x v="0"/>
    <x v="11"/>
    <s v="UHBVN"/>
    <x v="14"/>
    <s v="panchkula, karnal, kaithal, sonipat, ambala, kurukshetra"/>
    <n v="19"/>
    <n v="0"/>
    <n v="63721"/>
    <n v="0"/>
    <n v="6.4000000000000001E-2"/>
  </r>
  <r>
    <s v="India"/>
    <x v="0"/>
    <x v="0"/>
    <x v="11"/>
    <s v="AVVNL"/>
    <x v="16"/>
    <s v="ajmer"/>
    <m/>
    <n v="0"/>
    <n v="17127"/>
    <n v="0"/>
    <n v="1.7127E-2"/>
  </r>
  <r>
    <s v="India"/>
    <x v="0"/>
    <x v="0"/>
    <x v="11"/>
    <s v="JDVVNL"/>
    <x v="16"/>
    <s v="pali"/>
    <m/>
    <n v="11"/>
    <n v="430496"/>
    <n v="83625"/>
    <n v="0.51412100000000005"/>
  </r>
  <r>
    <s v="India"/>
    <x v="0"/>
    <x v="0"/>
    <x v="11"/>
    <s v="JVVNL"/>
    <x v="16"/>
    <s v="alwar, dausa, jcc, jpdc"/>
    <m/>
    <n v="11"/>
    <n v="430496"/>
    <n v="83625"/>
    <n v="0.51412100000000005"/>
  </r>
  <r>
    <s v="India"/>
    <x v="0"/>
    <x v="0"/>
    <x v="11"/>
    <s v="Noida Power Company Ltd. (NPCL)"/>
    <x v="15"/>
    <s v="greater noida"/>
    <n v="4"/>
    <n v="0"/>
    <n v="2553"/>
    <n v="0"/>
    <n v="3.0000000000000001E-3"/>
  </r>
  <r>
    <s v="India"/>
    <x v="0"/>
    <x v="0"/>
    <x v="11"/>
    <s v="BYPL"/>
    <x v="4"/>
    <s v="new delhi"/>
    <n v="1263"/>
    <n v="3"/>
    <n v="2601136"/>
    <n v="946700"/>
    <n v="3.548"/>
  </r>
  <r>
    <s v="India"/>
    <x v="0"/>
    <x v="0"/>
    <x v="11"/>
    <s v="BRPL"/>
    <x v="4"/>
    <s v="new delhi"/>
    <n v="1926"/>
    <n v="3"/>
    <n v="4521290"/>
    <n v="2748480"/>
    <n v="7.27"/>
  </r>
  <r>
    <s v="India"/>
    <x v="0"/>
    <x v="0"/>
    <x v="11"/>
    <s v="Tata Power-DDL"/>
    <x v="4"/>
    <s v="new delhi"/>
    <n v="712"/>
    <n v="5"/>
    <n v="3120000"/>
    <n v="4310000"/>
    <n v="7.43"/>
  </r>
  <r>
    <s v="India"/>
    <x v="0"/>
    <x v="0"/>
    <x v="11"/>
    <s v="APDCL"/>
    <x v="11"/>
    <s v="badarpur, karimganj, kokrajhar, nagaon, silchar, guwahati, tezpur"/>
    <m/>
    <n v="10"/>
    <n v="219564"/>
    <n v="19433"/>
    <n v="0.23899999999999999"/>
  </r>
  <r>
    <s v="India"/>
    <x v="0"/>
    <x v="0"/>
    <x v="11"/>
    <s v="TPCODL"/>
    <x v="7"/>
    <s v="bhubaneswar, puri, khordha &amp; paradeep"/>
    <m/>
    <n v="0"/>
    <n v="3590"/>
    <n v="0"/>
    <n v="4.0000000000000001E-3"/>
  </r>
  <r>
    <s v="India"/>
    <x v="0"/>
    <x v="0"/>
    <x v="11"/>
    <s v="TANGEDCO"/>
    <x v="6"/>
    <s v="coimbatore, villupuram, tirunelveli, chennai north, vellore"/>
    <n v="139"/>
    <n v="0"/>
    <n v="597914"/>
    <n v="0"/>
    <n v="0.59799999999999998"/>
  </r>
  <r>
    <s v="India"/>
    <x v="0"/>
    <x v="0"/>
    <x v="11"/>
    <s v="APEPDCL"/>
    <x v="1"/>
    <s v="visakhapatnam, rajmahendravaram, west godavari, srikakulam, vizianagaram"/>
    <n v="75"/>
    <n v="0"/>
    <n v="34043"/>
    <n v="0"/>
    <n v="3.4000000000000002E-2"/>
  </r>
  <r>
    <s v="India"/>
    <x v="0"/>
    <x v="0"/>
    <x v="11"/>
    <s v="MESCOM"/>
    <x v="0"/>
    <s v="mangaluru, udupi, shivamogga, chikkamagaluru"/>
    <n v="69"/>
    <n v="2"/>
    <n v="9522"/>
    <n v="77730"/>
    <n v="8.6999999999999994E-2"/>
  </r>
  <r>
    <s v="India"/>
    <x v="0"/>
    <x v="0"/>
    <x v="11"/>
    <s v="PGVCL"/>
    <x v="3"/>
    <s v="rajkot, surendranagar, junagadh, jamnagar, morbi, botad"/>
    <n v="35"/>
    <n v="3"/>
    <n v="47756"/>
    <n v="468337"/>
    <n v="0.51600000000000001"/>
  </r>
  <r>
    <s v="India"/>
    <x v="0"/>
    <x v="0"/>
    <x v="11"/>
    <s v="MPMKVVCL"/>
    <x v="5"/>
    <s v="bhopal city, gwalior city, betul, guna, harda, itarsi, narmadapuram, bareli, raisen, narsinghgarh, zeerapur, ashta, vidisha"/>
    <n v="96"/>
    <n v="1"/>
    <n v="24713"/>
    <n v="208212"/>
    <n v="0.23300000000000001"/>
  </r>
  <r>
    <s v="India"/>
    <x v="0"/>
    <x v="0"/>
    <x v="11"/>
    <s v="Tata Power-DDL"/>
    <x v="4"/>
    <s v="new delhi"/>
    <n v="712"/>
    <n v="5"/>
    <n v="3120000"/>
    <n v="4310000"/>
    <n v="7.43"/>
  </r>
  <r>
    <s v="India"/>
    <x v="0"/>
    <x v="0"/>
    <x v="11"/>
    <s v="APDCL"/>
    <x v="11"/>
    <s v="badarpur, karimganj, kokrajhar, nagaon, silchar, guwahati, tezpur"/>
    <m/>
    <n v="10"/>
    <n v="219564"/>
    <n v="19433"/>
    <n v="0.23899699999999999"/>
  </r>
  <r>
    <s v="India"/>
    <x v="0"/>
    <x v="0"/>
    <x v="11"/>
    <s v="CESC"/>
    <x v="10"/>
    <s v="kolkata"/>
    <n v="12"/>
    <n v="11"/>
    <n v="3860"/>
    <n v="217518"/>
    <n v="0.221"/>
  </r>
  <r>
    <s v="India"/>
    <x v="0"/>
    <x v="0"/>
    <x v="11"/>
    <s v="DVC"/>
    <x v="9"/>
    <s v="maithon, dhanbad"/>
    <m/>
    <n v="0"/>
    <n v="3590"/>
    <n v="0"/>
    <n v="0"/>
  </r>
  <r>
    <s v="India"/>
    <x v="0"/>
    <x v="0"/>
    <x v="11"/>
    <s v="SBPDCL"/>
    <x v="2"/>
    <s v="patna"/>
    <n v="318"/>
    <n v="2"/>
    <n v="361730"/>
    <n v="205446"/>
    <n v="0.56699999999999995"/>
  </r>
  <r>
    <s v="India"/>
    <x v="0"/>
    <x v="0"/>
    <x v="11"/>
    <s v="NBPDCL"/>
    <x v="2"/>
    <s v="patna"/>
    <n v="224"/>
    <n v="0"/>
    <n v="28350"/>
    <n v="0"/>
    <n v="2.8000000000000001E-2"/>
  </r>
  <r>
    <s v="India"/>
    <x v="0"/>
    <x v="0"/>
    <x v="11"/>
    <s v="KSEB"/>
    <x v="8"/>
    <s v="thiruvananthapuram, ernakulam, kozhikode"/>
    <m/>
    <n v="5"/>
    <n v="144612"/>
    <n v="31300"/>
    <n v="0.17591200000000001"/>
  </r>
  <r>
    <s v="India"/>
    <x v="0"/>
    <x v="0"/>
    <x v="11"/>
    <s v="TSNPDCL"/>
    <x v="13"/>
    <s v="adilabad, hanamkonda, kamareddy, karimnagar, khammam, mahabubabad, nirmal, nazimabad, pdeapally, warangal"/>
    <n v="35"/>
    <n v="0"/>
    <n v="10692"/>
    <n v="0"/>
    <n v="1.0999999999999999E-2"/>
  </r>
  <r>
    <s v="India"/>
    <x v="0"/>
    <x v="0"/>
    <x v="11"/>
    <s v="TSSPDCL"/>
    <x v="13"/>
    <s v="hyderabad"/>
    <m/>
    <n v="9"/>
    <n v="90000"/>
    <n v="320000"/>
    <n v="0.41"/>
  </r>
  <r>
    <s v="India"/>
    <x v="1"/>
    <x v="1"/>
    <x v="1"/>
    <s v="Brihan Mumbai Electric Supply Company (BEST)"/>
    <x v="12"/>
    <s v="mumbai (best)"/>
    <n v="11"/>
    <n v="10"/>
    <n v="29346"/>
    <n v="1486230"/>
    <n v="1.516"/>
  </r>
  <r>
    <s v="India"/>
    <x v="1"/>
    <x v="1"/>
    <x v="1"/>
    <s v="CESC"/>
    <x v="10"/>
    <s v="kolkata"/>
    <n v="5"/>
    <n v="11"/>
    <n v="306"/>
    <n v="255214"/>
    <n v="0.25600000000000001"/>
  </r>
  <r>
    <s v="India"/>
    <x v="1"/>
    <x v="1"/>
    <x v="1"/>
    <s v="UHBVN"/>
    <x v="14"/>
    <s v="panchkula, karnal, kaithal, sonipat"/>
    <n v="8"/>
    <n v="0"/>
    <n v="12529"/>
    <n v="0"/>
    <n v="1.2999999999999999E-2"/>
  </r>
  <r>
    <s v="India"/>
    <x v="1"/>
    <x v="1"/>
    <x v="1"/>
    <s v="MESCOM"/>
    <x v="0"/>
    <s v="mangaluru, udupi, shivamogga, chikkamagaluru"/>
    <n v="63"/>
    <n v="0"/>
    <n v="4072"/>
    <n v="0"/>
    <n v="4.0000000000000001E-3"/>
  </r>
  <r>
    <s v="India"/>
    <x v="1"/>
    <x v="1"/>
    <x v="1"/>
    <s v="APDCL"/>
    <x v="11"/>
    <s v="badarpur, karimganj, kokrajhar, nagaon, silchar, guwahati, tezpur"/>
    <n v="18"/>
    <n v="2"/>
    <n v="37095"/>
    <n v="24540"/>
    <n v="6.2E-2"/>
  </r>
  <r>
    <s v="India"/>
    <x v="1"/>
    <x v="1"/>
    <x v="1"/>
    <s v="UGVCL"/>
    <x v="3"/>
    <s v="hebatpur, bavla(ramnagar), fedra, dholasan, asal, modasa, majadar, nugar, rangpur"/>
    <n v="8"/>
    <n v="0"/>
    <n v="879"/>
    <n v="0"/>
    <n v="1E-3"/>
  </r>
  <r>
    <s v="India"/>
    <x v="1"/>
    <x v="1"/>
    <x v="1"/>
    <s v="Noida Power Company Ltd. (NPCL)"/>
    <x v="15"/>
    <s v="greater noida"/>
    <n v="1"/>
    <n v="0"/>
    <n v="1111"/>
    <n v="0"/>
    <n v="1E-3"/>
  </r>
  <r>
    <s v="India"/>
    <x v="1"/>
    <x v="1"/>
    <x v="1"/>
    <s v="MSEDCL"/>
    <x v="12"/>
    <s v="navi mumbai, pune, thane, nagpur"/>
    <n v="2316"/>
    <n v="11"/>
    <n v="49118"/>
    <n v="4512882"/>
    <n v="4.5620000000000003"/>
  </r>
  <r>
    <s v="India"/>
    <x v="1"/>
    <x v="1"/>
    <x v="1"/>
    <s v="APSPDCL"/>
    <x v="1"/>
    <s v="anantpur, kadapa, kurnool, nellore, tirupati"/>
    <n v="11"/>
    <n v="5"/>
    <n v="1588"/>
    <n v="12948"/>
    <n v="1.4999999999999999E-2"/>
  </r>
  <r>
    <s v="India"/>
    <x v="1"/>
    <x v="1"/>
    <x v="1"/>
    <s v="DVC"/>
    <x v="9"/>
    <s v="maithon, dhanbad"/>
    <n v="1"/>
    <n v="0"/>
    <n v="0"/>
    <n v="0"/>
    <n v="0"/>
  </r>
  <r>
    <s v="India"/>
    <x v="1"/>
    <x v="1"/>
    <x v="1"/>
    <s v="KSEB"/>
    <x v="8"/>
    <s v="thiruvananthapuram, ernakulam, kozhikode"/>
    <n v="37"/>
    <n v="3"/>
    <n v="32821"/>
    <n v="31120"/>
    <n v="6.4000000000000001E-2"/>
  </r>
  <r>
    <s v="India"/>
    <x v="1"/>
    <x v="1"/>
    <x v="1"/>
    <s v="TSNPDCL"/>
    <x v="13"/>
    <s v="adilabad, hanamkonda, kamareddy, karimnagar, khammam, mahabubabad, nirmal, nazimabad, pdeapally, warangal"/>
    <n v="9"/>
    <n v="0"/>
    <n v="583"/>
    <n v="0"/>
    <n v="1E-3"/>
  </r>
  <r>
    <s v="India"/>
    <x v="1"/>
    <x v="1"/>
    <x v="1"/>
    <s v="PGVCL"/>
    <x v="3"/>
    <s v="rajkot, surendranagar, junagadh, jamnagar, morbi, botad"/>
    <n v="7"/>
    <n v="1"/>
    <n v="8321"/>
    <n v="153400"/>
    <n v="0.16200000000000001"/>
  </r>
  <r>
    <s v="India"/>
    <x v="1"/>
    <x v="1"/>
    <x v="1"/>
    <s v="DGVCL"/>
    <x v="3"/>
    <s v="surat city, navsari, vapi-town, haldarva, bharuch east, kavadiya colony"/>
    <n v="7"/>
    <n v="1"/>
    <n v="17941"/>
    <n v="580940"/>
    <n v="0.59899999999999998"/>
  </r>
  <r>
    <s v="India"/>
    <x v="1"/>
    <x v="1"/>
    <x v="1"/>
    <s v="APEPDCL"/>
    <x v="1"/>
    <s v="visakhapatnam, rajmahendravaram, west godavari, srikakulam, vizianagaram"/>
    <n v="38"/>
    <n v="0"/>
    <n v="5463"/>
    <n v="0"/>
    <n v="5.0000000000000001E-3"/>
  </r>
  <r>
    <s v="India"/>
    <x v="1"/>
    <x v="1"/>
    <x v="1"/>
    <s v="CESC Mysore"/>
    <x v="0"/>
    <s v="mysore, mandya, hassan, kodagu"/>
    <n v="9"/>
    <n v="0"/>
    <n v="847"/>
    <n v="0"/>
    <n v="1E-3"/>
  </r>
  <r>
    <s v="India"/>
    <x v="1"/>
    <x v="1"/>
    <x v="1"/>
    <s v="Tata Power-DDL"/>
    <x v="4"/>
    <s v="new delhi"/>
    <n v="546"/>
    <n v="2"/>
    <n v="2480000"/>
    <n v="1150000"/>
    <n v="3.63"/>
  </r>
  <r>
    <s v="India"/>
    <x v="1"/>
    <x v="1"/>
    <x v="1"/>
    <s v="AVVNL"/>
    <x v="16"/>
    <s v="ajmer"/>
    <n v="7"/>
    <n v="0"/>
    <n v="18614"/>
    <n v="0"/>
    <n v="1.9E-2"/>
  </r>
  <r>
    <s v="India"/>
    <x v="1"/>
    <x v="1"/>
    <x v="1"/>
    <s v="TANGEDCO"/>
    <x v="6"/>
    <s v="coimbatore, villupuram, tirunelveli, chennai north, vellore"/>
    <n v="35"/>
    <n v="0"/>
    <n v="60540"/>
    <n v="0"/>
    <n v="6.0999999999999999E-2"/>
  </r>
  <r>
    <s v="India"/>
    <x v="1"/>
    <x v="1"/>
    <x v="1"/>
    <s v="BRPL"/>
    <x v="4"/>
    <s v="new delhi"/>
    <n v="1373"/>
    <n v="1"/>
    <n v="3065403"/>
    <n v="881220"/>
    <n v="3.9470000000000001"/>
  </r>
  <r>
    <s v="India"/>
    <x v="1"/>
    <x v="1"/>
    <x v="1"/>
    <s v="Torrent Power"/>
    <x v="3"/>
    <s v="ahemdabad"/>
    <n v="9"/>
    <n v="5"/>
    <n v="12077"/>
    <n v="1631764"/>
    <n v="1.6439999999999999"/>
  </r>
  <r>
    <s v="India"/>
    <x v="1"/>
    <x v="1"/>
    <x v="1"/>
    <s v="TSSPDCL"/>
    <x v="13"/>
    <s v="hyderabad"/>
    <n v="27"/>
    <n v="3"/>
    <n v="16739"/>
    <n v="2630"/>
    <n v="1.9E-2"/>
  </r>
  <r>
    <s v="India"/>
    <x v="1"/>
    <x v="1"/>
    <x v="1"/>
    <s v="BYPL"/>
    <x v="4"/>
    <s v="new delhi"/>
    <n v="984"/>
    <n v="2"/>
    <n v="1693118"/>
    <n v="628800"/>
    <n v="2.3220000000000001"/>
  </r>
  <r>
    <s v="India"/>
    <x v="0"/>
    <x v="0"/>
    <x v="1"/>
    <s v="APDCL"/>
    <x v="11"/>
    <s v="badarpur, karimganj, kokrajhar, nagaon, silchar, guwahati, tezpur"/>
    <n v="101"/>
    <n v="10"/>
    <n v="219564"/>
    <n v="19433"/>
    <n v="0.23899999999999999"/>
  </r>
  <r>
    <s v="India"/>
    <x v="0"/>
    <x v="0"/>
    <x v="1"/>
    <s v="Tata Power-DDL"/>
    <x v="4"/>
    <s v="new delhi"/>
    <n v="639"/>
    <n v="5"/>
    <n v="3220000"/>
    <n v="810000"/>
    <n v="4.03"/>
  </r>
  <r>
    <s v="India"/>
    <x v="0"/>
    <x v="0"/>
    <x v="1"/>
    <s v="BRPL"/>
    <x v="4"/>
    <s v="new delhi"/>
    <n v="1891"/>
    <n v="3"/>
    <n v="5252080"/>
    <n v="3396720"/>
    <n v="8.6489999999999991"/>
  </r>
  <r>
    <s v="India"/>
    <x v="0"/>
    <x v="0"/>
    <x v="1"/>
    <s v="BYPL"/>
    <x v="4"/>
    <s v="new delhi"/>
    <n v="1225"/>
    <n v="2"/>
    <n v="2415049"/>
    <n v="1002030"/>
    <n v="3.4169999999999998"/>
  </r>
  <r>
    <s v="India"/>
    <x v="0"/>
    <x v="0"/>
    <x v="1"/>
    <s v="Noida Power Company Ltd. (NPCL)"/>
    <x v="15"/>
    <s v="greater noida"/>
    <n v="3"/>
    <n v="0"/>
    <n v="1403"/>
    <n v="0"/>
    <n v="1E-3"/>
  </r>
  <r>
    <s v="India"/>
    <x v="0"/>
    <x v="0"/>
    <x v="1"/>
    <s v="JVVNL"/>
    <x v="16"/>
    <s v="alwar, dausa, jcc, jpdc"/>
    <m/>
    <n v="11"/>
    <n v="430496"/>
    <n v="83625"/>
    <n v="0.51412100000000005"/>
  </r>
  <r>
    <s v="India"/>
    <x v="0"/>
    <x v="0"/>
    <x v="1"/>
    <s v="JDVVNL"/>
    <x v="16"/>
    <s v="pali"/>
    <m/>
    <n v="11"/>
    <n v="430496"/>
    <n v="83625"/>
    <n v="0.51412100000000005"/>
  </r>
  <r>
    <s v="India"/>
    <x v="0"/>
    <x v="0"/>
    <x v="1"/>
    <s v="AVVNL"/>
    <x v="16"/>
    <s v="ajmer"/>
    <m/>
    <n v="0"/>
    <n v="17127"/>
    <n v="0"/>
    <n v="1.7127E-2"/>
  </r>
  <r>
    <s v="India"/>
    <x v="0"/>
    <x v="0"/>
    <x v="1"/>
    <s v="UHBVN"/>
    <x v="14"/>
    <s v="panchkula, karnal, kaithal, sonipat, ambala, kurukshetra"/>
    <n v="15"/>
    <n v="0"/>
    <n v="13558"/>
    <n v="0"/>
    <n v="1.4E-2"/>
  </r>
  <r>
    <s v="India"/>
    <x v="0"/>
    <x v="0"/>
    <x v="1"/>
    <s v="DHBVN"/>
    <x v="14"/>
    <s v="faridabad, gurugram, hisar, rewari, sirsa, narnaul, palwal"/>
    <n v="72"/>
    <n v="0"/>
    <n v="1263797"/>
    <n v="0"/>
    <n v="1.264"/>
  </r>
  <r>
    <s v="India"/>
    <x v="0"/>
    <x v="0"/>
    <x v="1"/>
    <m/>
    <x v="17"/>
    <s v="chandigarh"/>
    <n v="23"/>
    <n v="7"/>
    <n v="80946"/>
    <n v="670686"/>
    <n v="0.752"/>
  </r>
  <r>
    <s v="India"/>
    <x v="0"/>
    <x v="0"/>
    <x v="1"/>
    <s v="TSSPDCL"/>
    <x v="13"/>
    <s v="hyderabad"/>
    <m/>
    <n v="9"/>
    <n v="90000"/>
    <n v="320000"/>
    <n v="0.41"/>
  </r>
  <r>
    <s v="India"/>
    <x v="0"/>
    <x v="0"/>
    <x v="1"/>
    <s v="MSEDCL"/>
    <x v="12"/>
    <s v="navi mumbai, pune, thane, nagpur"/>
    <n v="2782"/>
    <n v="17"/>
    <n v="332219"/>
    <n v="7424356"/>
    <n v="7.7569999999999997"/>
  </r>
  <r>
    <s v="India"/>
    <x v="0"/>
    <x v="0"/>
    <x v="1"/>
    <s v="Brihan Mumbai Electric Supply Company (BEST)"/>
    <x v="12"/>
    <s v="mumbai (best)"/>
    <n v="199"/>
    <n v="39"/>
    <n v="347297"/>
    <n v="1737301"/>
    <n v="2.085"/>
  </r>
  <r>
    <s v="India"/>
    <x v="0"/>
    <x v="0"/>
    <x v="1"/>
    <s v="UGVCL"/>
    <x v="3"/>
    <s v="hebatpur, bavla (ramnagar), fedra, dholasan, asal, modasa, majadar, nugar, rangpur"/>
    <n v="29"/>
    <n v="0"/>
    <n v="19668"/>
    <n v="0"/>
    <n v="0.02"/>
  </r>
  <r>
    <s v="India"/>
    <x v="0"/>
    <x v="0"/>
    <x v="1"/>
    <s v="UGVCL"/>
    <x v="3"/>
    <s v="hebatpur, bavla (ramnagar), fedra, dholasan, asal, modasa, majadar, nugar"/>
    <n v="29"/>
    <n v="0"/>
    <n v="19668"/>
    <n v="0"/>
    <n v="0.02"/>
  </r>
  <r>
    <s v="India"/>
    <x v="0"/>
    <x v="0"/>
    <x v="1"/>
    <s v="UGVCL"/>
    <x v="3"/>
    <s v="surat city, navsari, vapi-town, haldarva, bharuch east, kavadiya colony"/>
    <n v="53"/>
    <n v="13"/>
    <n v="48121"/>
    <n v="1615706"/>
    <n v="1.6639999999999999"/>
  </r>
  <r>
    <s v="India"/>
    <x v="0"/>
    <x v="0"/>
    <x v="1"/>
    <s v="APSPDCL"/>
    <x v="1"/>
    <s v="anantpur, kadapa, kurnool, nellore, tirupati"/>
    <n v="30"/>
    <n v="8"/>
    <n v="12969"/>
    <n v="1162101"/>
    <n v="1.175"/>
  </r>
  <r>
    <s v="India"/>
    <x v="0"/>
    <x v="0"/>
    <x v="1"/>
    <s v="APDCL"/>
    <x v="11"/>
    <s v="badarpur, karimganj, kokrajhar, nagaon, silchar, guwahati, tezpur"/>
    <n v="101"/>
    <n v="10"/>
    <n v="219564"/>
    <n v="19433"/>
    <n v="0.23899999999999999"/>
  </r>
  <r>
    <s v="India"/>
    <x v="0"/>
    <x v="0"/>
    <x v="1"/>
    <s v="PGVCL"/>
    <x v="3"/>
    <s v="rajkot, surendranagar, junagadh, jamnagar, morbi, botad"/>
    <n v="25"/>
    <n v="3"/>
    <n v="61807"/>
    <n v="469488"/>
    <n v="0.53100000000000003"/>
  </r>
  <r>
    <s v="India"/>
    <x v="0"/>
    <x v="0"/>
    <x v="1"/>
    <s v="KSEB"/>
    <x v="8"/>
    <s v="thiruvananthapuram, ernakulam, kozhikode"/>
    <m/>
    <n v="5"/>
    <n v="144612"/>
    <n v="31300"/>
    <n v="0.17591200000000001"/>
  </r>
  <r>
    <s v="India"/>
    <x v="0"/>
    <x v="0"/>
    <x v="1"/>
    <s v="CESC"/>
    <x v="10"/>
    <s v="kolkata"/>
    <n v="12"/>
    <n v="11"/>
    <n v="1830"/>
    <n v="220680"/>
    <n v="0.223"/>
  </r>
  <r>
    <s v="India"/>
    <x v="0"/>
    <x v="0"/>
    <x v="1"/>
    <s v="Torrent Power"/>
    <x v="3"/>
    <s v="ahemdabad"/>
    <n v="30"/>
    <n v="8"/>
    <n v="15148"/>
    <n v="1700572"/>
    <n v="1.716"/>
  </r>
  <r>
    <s v="India"/>
    <x v="0"/>
    <x v="0"/>
    <x v="1"/>
    <s v="BESCOM"/>
    <x v="0"/>
    <s v="bangalore, davangere, chitradurga, tumkuru, kolar"/>
    <n v="300"/>
    <n v="0"/>
    <n v="266959"/>
    <n v="0"/>
    <n v="0.26700000000000002"/>
  </r>
  <r>
    <s v="India"/>
    <x v="0"/>
    <x v="0"/>
    <x v="1"/>
    <s v="DVC"/>
    <x v="9"/>
    <s v="maithon, dhanbad"/>
    <m/>
    <n v="0"/>
    <n v="3590"/>
    <n v="0"/>
    <n v="0"/>
  </r>
  <r>
    <s v="India"/>
    <x v="0"/>
    <x v="0"/>
    <x v="1"/>
    <s v="CESC Mysore"/>
    <x v="0"/>
    <s v="mysore, mandya, hassan, kodagu"/>
    <n v="25"/>
    <n v="3"/>
    <n v="14144"/>
    <n v="212408"/>
    <n v="0.22700000000000001"/>
  </r>
  <r>
    <s v="India"/>
    <x v="0"/>
    <x v="0"/>
    <x v="1"/>
    <s v="TSNPDCL"/>
    <x v="13"/>
    <s v="adilabad, hanamkonda, kamareddy, karimnagar, khammam, mahabubabad, nirmal, nazimabad, pdeapally, warangal"/>
    <n v="33"/>
    <n v="0"/>
    <n v="11429"/>
    <n v="0"/>
    <n v="1.0999999999999999E-2"/>
  </r>
  <r>
    <s v="India"/>
    <x v="0"/>
    <x v="0"/>
    <x v="1"/>
    <s v="MESCOM"/>
    <x v="0"/>
    <s v="mangaluru, udupi, shivamogga, chikkamagaluru"/>
    <n v="67"/>
    <n v="2"/>
    <n v="5612"/>
    <n v="80109"/>
    <n v="8.599999999999999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6E31E-BB95-5942-B5AF-0D23BB31513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2" firstHeaderRow="1" firstDataRow="1" firstDataCol="1"/>
  <pivotFields count="12">
    <pivotField showAll="0"/>
    <pivotField showAll="0"/>
    <pivotField showAll="0"/>
    <pivotField showAll="0"/>
    <pivotField showAll="0"/>
    <pivotField axis="axisRow" showAll="0" sortType="descending">
      <items count="19">
        <item x="1"/>
        <item x="11"/>
        <item x="2"/>
        <item x="17"/>
        <item x="4"/>
        <item x="3"/>
        <item x="14"/>
        <item x="9"/>
        <item x="0"/>
        <item x="8"/>
        <item x="12"/>
        <item x="5"/>
        <item x="7"/>
        <item x="16"/>
        <item x="6"/>
        <item x="13"/>
        <item x="15"/>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5"/>
  </rowFields>
  <rowItems count="19">
    <i>
      <x v="10"/>
    </i>
    <i>
      <x v="4"/>
    </i>
    <i>
      <x v="2"/>
    </i>
    <i>
      <x v="9"/>
    </i>
    <i>
      <x v="11"/>
    </i>
    <i>
      <x v="13"/>
    </i>
    <i>
      <x v="14"/>
    </i>
    <i>
      <x v="1"/>
    </i>
    <i>
      <x v="8"/>
    </i>
    <i>
      <x/>
    </i>
    <i>
      <x v="15"/>
    </i>
    <i>
      <x v="6"/>
    </i>
    <i>
      <x v="5"/>
    </i>
    <i>
      <x v="3"/>
    </i>
    <i>
      <x v="12"/>
    </i>
    <i>
      <x v="17"/>
    </i>
    <i>
      <x v="16"/>
    </i>
    <i>
      <x v="7"/>
    </i>
    <i t="grand">
      <x/>
    </i>
  </rowItems>
  <colItems count="1">
    <i/>
  </colItems>
  <dataFields count="1">
    <dataField name="Average of ev_stations" fld="7"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FD375-4AF2-FB49-BF66-58D03D34061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2" firstHeaderRow="1" firstDataRow="1" firstDataCol="1"/>
  <pivotFields count="12">
    <pivotField showAll="0"/>
    <pivotField showAll="0"/>
    <pivotField showAll="0"/>
    <pivotField showAll="0"/>
    <pivotField showAll="0"/>
    <pivotField axis="axisRow" showAll="0" sortType="descending">
      <items count="19">
        <item x="10"/>
        <item x="15"/>
        <item x="13"/>
        <item x="6"/>
        <item x="16"/>
        <item x="7"/>
        <item x="5"/>
        <item x="12"/>
        <item x="8"/>
        <item x="0"/>
        <item x="9"/>
        <item x="14"/>
        <item x="3"/>
        <item x="4"/>
        <item x="17"/>
        <item x="2"/>
        <item x="1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5"/>
  </rowFields>
  <rowItems count="19">
    <i>
      <x v="13"/>
    </i>
    <i>
      <x v="7"/>
    </i>
    <i>
      <x v="12"/>
    </i>
    <i>
      <x v="11"/>
    </i>
    <i>
      <x v="17"/>
    </i>
    <i>
      <x v="4"/>
    </i>
    <i>
      <x v="14"/>
    </i>
    <i>
      <x/>
    </i>
    <i>
      <x v="9"/>
    </i>
    <i>
      <x v="16"/>
    </i>
    <i>
      <x v="2"/>
    </i>
    <i>
      <x v="15"/>
    </i>
    <i>
      <x v="3"/>
    </i>
    <i>
      <x v="8"/>
    </i>
    <i>
      <x v="6"/>
    </i>
    <i>
      <x v="1"/>
    </i>
    <i>
      <x v="5"/>
    </i>
    <i>
      <x v="10"/>
    </i>
    <i t="grand">
      <x/>
    </i>
  </rowItems>
  <colItems count="1">
    <i/>
  </colItems>
  <dataFields count="1">
    <dataField name="Sum of total_mu"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E8E892-0932-EB41-AF14-0D0265BD2D3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12">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dataField="1" showAll="0"/>
  </pivotFields>
  <rowFields count="1">
    <field x="1"/>
  </rowFields>
  <rowItems count="3">
    <i>
      <x/>
    </i>
    <i>
      <x v="1"/>
    </i>
    <i t="grand">
      <x/>
    </i>
  </rowItems>
  <colFields count="1">
    <field x="-2"/>
  </colFields>
  <colItems count="2">
    <i>
      <x/>
    </i>
    <i i="1">
      <x v="1"/>
    </i>
  </colItems>
  <dataFields count="2">
    <dataField name="Sum of ev_stations" fld="7" baseField="0" baseItem="0"/>
    <dataField name="Sum of total_mu" fld="11"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1FB997-24CD-8F4A-BB80-5B79542D465D}"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 colHeaderCaption="">
  <location ref="A3:D17" firstHeaderRow="1" firstDataRow="2" firstDataCol="1"/>
  <pivotFields count="12">
    <pivotField showAll="0"/>
    <pivotField axis="axisCol" showAll="0">
      <items count="3">
        <item x="1"/>
        <item x="0"/>
        <item t="default"/>
      </items>
    </pivotField>
    <pivotField showAll="0">
      <items count="3">
        <item x="1"/>
        <item x="0"/>
        <item t="default"/>
      </items>
    </pivotField>
    <pivotField axis="axisRow" showAll="0">
      <items count="13">
        <item x="2"/>
        <item x="6"/>
        <item x="8"/>
        <item x="3"/>
        <item x="10"/>
        <item x="9"/>
        <item x="7"/>
        <item x="0"/>
        <item x="1"/>
        <item x="11"/>
        <item x="4"/>
        <item x="5"/>
        <item t="default"/>
      </items>
    </pivotField>
    <pivotField showAll="0"/>
    <pivotField showAll="0"/>
    <pivotField showAll="0"/>
    <pivotField dataField="1"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ev_stations" fld="7"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F6BE1C-0729-4345-84A0-074BC6AF2511}" name="Table1" displayName="Table1" ref="A1:L571" totalsRowShown="0" headerRowDxfId="0" dataDxfId="1">
  <autoFilter ref="A1:L571" xr:uid="{82F6BE1C-0729-4345-84A0-074BC6AF2511}"/>
  <tableColumns count="12">
    <tableColumn id="1" xr3:uid="{2FAC5347-DB19-4245-844F-7DD17BC1F85C}" name="Country" dataDxfId="13"/>
    <tableColumn id="2" xr3:uid="{F131D982-79D6-E447-8AEB-34619097F291}" name="financial_year" dataDxfId="12"/>
    <tableColumn id="3" xr3:uid="{FC034899-7189-C748-958E-C39E282B2E31}" name="calendar_year" dataDxfId="11"/>
    <tableColumn id="4" xr3:uid="{91102735-519A-AA46-9390-30375B0B1299}" name="calendar_month" dataDxfId="10"/>
    <tableColumn id="5" xr3:uid="{D9004B56-8FBF-724A-A052-AF5F916D63DA}" name="DISCOM" dataDxfId="9"/>
    <tableColumn id="6" xr3:uid="{07BBF2A6-5F59-5E42-89DE-B08BB3C75640}" name="State" dataDxfId="8"/>
    <tableColumn id="7" xr3:uid="{3AE216DD-9E6A-D040-9191-44441055E351}" name="city" dataDxfId="7"/>
    <tableColumn id="8" xr3:uid="{65618400-30F6-7A4D-98EF-A88E9FFF4112}" name="ev_stations" dataDxfId="6"/>
    <tableColumn id="9" xr3:uid="{6C8DF8E4-5259-5348-9888-56F6D03FB27A}" name="hd_stations" dataDxfId="5"/>
    <tableColumn id="10" xr3:uid="{870A168B-73B4-1341-8674-FFFE961BC0D7}" name="ev_kwh" dataDxfId="4"/>
    <tableColumn id="11" xr3:uid="{BE714B5A-19FD-8C4C-8468-5B6E059FB1E1}" name="hd_kwh" dataDxfId="3"/>
    <tableColumn id="12" xr3:uid="{1549BDFA-38A7-1A41-859D-FE6CE9FCE3CE}" name="total_mu" dataDxfId="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168D-ADF0-5D49-B946-EAFD7E4EDCA5}">
  <dimension ref="A3:B22"/>
  <sheetViews>
    <sheetView zoomScale="169" workbookViewId="0">
      <selection activeCell="I11" sqref="I11"/>
    </sheetView>
  </sheetViews>
  <sheetFormatPr baseColWidth="10" defaultRowHeight="16" x14ac:dyDescent="0.2"/>
  <cols>
    <col min="1" max="1" width="13" bestFit="1" customWidth="1"/>
    <col min="2" max="2" width="19.83203125" bestFit="1" customWidth="1"/>
  </cols>
  <sheetData>
    <row r="3" spans="1:2" x14ac:dyDescent="0.2">
      <c r="A3" s="8" t="s">
        <v>102</v>
      </c>
      <c r="B3" t="s">
        <v>105</v>
      </c>
    </row>
    <row r="4" spans="1:2" x14ac:dyDescent="0.2">
      <c r="A4" s="9" t="s">
        <v>58</v>
      </c>
      <c r="B4" s="10">
        <v>1067.1707317073171</v>
      </c>
    </row>
    <row r="5" spans="1:2" x14ac:dyDescent="0.2">
      <c r="A5" s="9" t="s">
        <v>29</v>
      </c>
      <c r="B5" s="10">
        <v>1050.7936507936508</v>
      </c>
    </row>
    <row r="6" spans="1:2" x14ac:dyDescent="0.2">
      <c r="A6" s="9" t="s">
        <v>21</v>
      </c>
      <c r="B6" s="10">
        <v>138.25925925925927</v>
      </c>
    </row>
    <row r="7" spans="1:2" x14ac:dyDescent="0.2">
      <c r="A7" s="9" t="s">
        <v>46</v>
      </c>
      <c r="B7" s="10">
        <v>135.5</v>
      </c>
    </row>
    <row r="8" spans="1:2" x14ac:dyDescent="0.2">
      <c r="A8" s="9" t="s">
        <v>32</v>
      </c>
      <c r="B8" s="10">
        <v>92.4</v>
      </c>
    </row>
    <row r="9" spans="1:2" x14ac:dyDescent="0.2">
      <c r="A9" s="9" t="s">
        <v>85</v>
      </c>
      <c r="B9" s="10">
        <v>61.0625</v>
      </c>
    </row>
    <row r="10" spans="1:2" x14ac:dyDescent="0.2">
      <c r="A10" s="9" t="s">
        <v>40</v>
      </c>
      <c r="B10" s="10">
        <v>61</v>
      </c>
    </row>
    <row r="11" spans="1:2" x14ac:dyDescent="0.2">
      <c r="A11" s="9" t="s">
        <v>55</v>
      </c>
      <c r="B11" s="10">
        <v>58.095238095238095</v>
      </c>
    </row>
    <row r="12" spans="1:2" x14ac:dyDescent="0.2">
      <c r="A12" s="9" t="s">
        <v>15</v>
      </c>
      <c r="B12" s="10">
        <v>45.045454545454547</v>
      </c>
    </row>
    <row r="13" spans="1:2" x14ac:dyDescent="0.2">
      <c r="A13" s="9" t="s">
        <v>18</v>
      </c>
      <c r="B13" s="10">
        <v>41.630434782608695</v>
      </c>
    </row>
    <row r="14" spans="1:2" x14ac:dyDescent="0.2">
      <c r="A14" s="9" t="s">
        <v>71</v>
      </c>
      <c r="B14" s="10">
        <v>32.026315789473685</v>
      </c>
    </row>
    <row r="15" spans="1:2" x14ac:dyDescent="0.2">
      <c r="A15" s="9" t="s">
        <v>75</v>
      </c>
      <c r="B15" s="10">
        <v>26.071428571428573</v>
      </c>
    </row>
    <row r="16" spans="1:2" x14ac:dyDescent="0.2">
      <c r="A16" s="9" t="s">
        <v>26</v>
      </c>
      <c r="B16" s="10">
        <v>19.702380952380953</v>
      </c>
    </row>
    <row r="17" spans="1:2" x14ac:dyDescent="0.2">
      <c r="A17" s="9" t="s">
        <v>94</v>
      </c>
      <c r="B17" s="10">
        <v>17.833333333333332</v>
      </c>
    </row>
    <row r="18" spans="1:2" x14ac:dyDescent="0.2">
      <c r="A18" s="9" t="s">
        <v>43</v>
      </c>
      <c r="B18" s="10">
        <v>11.555555555555555</v>
      </c>
    </row>
    <row r="19" spans="1:2" x14ac:dyDescent="0.2">
      <c r="A19" s="9" t="s">
        <v>52</v>
      </c>
      <c r="B19" s="10">
        <v>8.15</v>
      </c>
    </row>
    <row r="20" spans="1:2" x14ac:dyDescent="0.2">
      <c r="A20" s="9" t="s">
        <v>82</v>
      </c>
      <c r="B20" s="10">
        <v>1.8</v>
      </c>
    </row>
    <row r="21" spans="1:2" x14ac:dyDescent="0.2">
      <c r="A21" s="9" t="s">
        <v>49</v>
      </c>
      <c r="B21" s="10">
        <v>1</v>
      </c>
    </row>
    <row r="22" spans="1:2" x14ac:dyDescent="0.2">
      <c r="A22" s="9" t="s">
        <v>103</v>
      </c>
      <c r="B22" s="10">
        <v>243.57495256166982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EFFF-47D8-B24D-81BE-000A58136235}">
  <dimension ref="A3:B22"/>
  <sheetViews>
    <sheetView zoomScale="156" workbookViewId="0">
      <selection activeCell="I31" sqref="I31"/>
    </sheetView>
  </sheetViews>
  <sheetFormatPr baseColWidth="10" defaultRowHeight="16" x14ac:dyDescent="0.2"/>
  <cols>
    <col min="1" max="1" width="13" bestFit="1" customWidth="1"/>
    <col min="2" max="2" width="14.5" bestFit="1" customWidth="1"/>
  </cols>
  <sheetData>
    <row r="3" spans="1:2" x14ac:dyDescent="0.2">
      <c r="A3" s="8" t="s">
        <v>102</v>
      </c>
      <c r="B3" t="s">
        <v>106</v>
      </c>
    </row>
    <row r="4" spans="1:2" x14ac:dyDescent="0.2">
      <c r="A4" s="9" t="s">
        <v>29</v>
      </c>
      <c r="B4" s="10">
        <v>252.65400000000005</v>
      </c>
    </row>
    <row r="5" spans="1:2" x14ac:dyDescent="0.2">
      <c r="A5" s="9" t="s">
        <v>58</v>
      </c>
      <c r="B5" s="10">
        <v>157.78600000000006</v>
      </c>
    </row>
    <row r="6" spans="1:2" x14ac:dyDescent="0.2">
      <c r="A6" s="9" t="s">
        <v>26</v>
      </c>
      <c r="B6" s="10">
        <v>59.719000000000015</v>
      </c>
    </row>
    <row r="7" spans="1:2" x14ac:dyDescent="0.2">
      <c r="A7" s="9" t="s">
        <v>75</v>
      </c>
      <c r="B7" s="10">
        <v>8.8693839999999984</v>
      </c>
    </row>
    <row r="8" spans="1:2" x14ac:dyDescent="0.2">
      <c r="A8" s="9" t="s">
        <v>18</v>
      </c>
      <c r="B8" s="10">
        <v>8.8669999999999973</v>
      </c>
    </row>
    <row r="9" spans="1:2" x14ac:dyDescent="0.2">
      <c r="A9" s="9" t="s">
        <v>85</v>
      </c>
      <c r="B9" s="10">
        <v>5.9602280000000007</v>
      </c>
    </row>
    <row r="10" spans="1:2" x14ac:dyDescent="0.2">
      <c r="A10" s="9" t="s">
        <v>94</v>
      </c>
      <c r="B10" s="10">
        <v>5.1082639999999992</v>
      </c>
    </row>
    <row r="11" spans="1:2" x14ac:dyDescent="0.2">
      <c r="A11" s="9" t="s">
        <v>52</v>
      </c>
      <c r="B11" s="10">
        <v>4.862000000000001</v>
      </c>
    </row>
    <row r="12" spans="1:2" x14ac:dyDescent="0.2">
      <c r="A12" s="9" t="s">
        <v>15</v>
      </c>
      <c r="B12" s="10">
        <v>3.8814799999999989</v>
      </c>
    </row>
    <row r="13" spans="1:2" x14ac:dyDescent="0.2">
      <c r="A13" s="9" t="s">
        <v>55</v>
      </c>
      <c r="B13" s="10">
        <v>3.5799939999999992</v>
      </c>
    </row>
    <row r="14" spans="1:2" x14ac:dyDescent="0.2">
      <c r="A14" s="9" t="s">
        <v>71</v>
      </c>
      <c r="B14" s="10">
        <v>3.4179999999999993</v>
      </c>
    </row>
    <row r="15" spans="1:2" x14ac:dyDescent="0.2">
      <c r="A15" s="9" t="s">
        <v>21</v>
      </c>
      <c r="B15" s="10">
        <v>3.2439999999999993</v>
      </c>
    </row>
    <row r="16" spans="1:2" x14ac:dyDescent="0.2">
      <c r="A16" s="9" t="s">
        <v>40</v>
      </c>
      <c r="B16" s="10">
        <v>2.31</v>
      </c>
    </row>
    <row r="17" spans="1:2" x14ac:dyDescent="0.2">
      <c r="A17" s="9" t="s">
        <v>46</v>
      </c>
      <c r="B17" s="10">
        <v>2.1817359999999999</v>
      </c>
    </row>
    <row r="18" spans="1:2" x14ac:dyDescent="0.2">
      <c r="A18" s="9" t="s">
        <v>32</v>
      </c>
      <c r="B18" s="10">
        <v>1.0900000000000001</v>
      </c>
    </row>
    <row r="19" spans="1:2" x14ac:dyDescent="0.2">
      <c r="A19" s="9" t="s">
        <v>82</v>
      </c>
      <c r="B19" s="10">
        <v>3.6000000000000011E-2</v>
      </c>
    </row>
    <row r="20" spans="1:2" x14ac:dyDescent="0.2">
      <c r="A20" s="9" t="s">
        <v>43</v>
      </c>
      <c r="B20" s="10">
        <v>2.4E-2</v>
      </c>
    </row>
    <row r="21" spans="1:2" x14ac:dyDescent="0.2">
      <c r="A21" s="9" t="s">
        <v>49</v>
      </c>
      <c r="B21" s="10">
        <v>0</v>
      </c>
    </row>
    <row r="22" spans="1:2" x14ac:dyDescent="0.2">
      <c r="A22" s="9" t="s">
        <v>103</v>
      </c>
      <c r="B22" s="10">
        <v>523.59108600000013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1490-C48C-E544-827B-7832435DE4B5}">
  <dimension ref="A3:E6"/>
  <sheetViews>
    <sheetView zoomScale="150" workbookViewId="0">
      <selection activeCell="G15" sqref="G15"/>
    </sheetView>
  </sheetViews>
  <sheetFormatPr baseColWidth="10" defaultRowHeight="16" x14ac:dyDescent="0.2"/>
  <cols>
    <col min="1" max="1" width="13" bestFit="1" customWidth="1"/>
    <col min="2" max="2" width="16.83203125" bestFit="1" customWidth="1"/>
    <col min="3" max="3" width="14.5" bestFit="1" customWidth="1"/>
    <col min="4" max="4" width="36.83203125" style="4" customWidth="1"/>
    <col min="5" max="5" width="10.83203125" style="4"/>
  </cols>
  <sheetData>
    <row r="3" spans="1:5" x14ac:dyDescent="0.2">
      <c r="A3" s="8" t="s">
        <v>102</v>
      </c>
      <c r="B3" t="s">
        <v>104</v>
      </c>
      <c r="C3" t="s">
        <v>106</v>
      </c>
      <c r="D3" s="12" t="s">
        <v>107</v>
      </c>
      <c r="E3" s="12" t="s">
        <v>107</v>
      </c>
    </row>
    <row r="4" spans="1:5" x14ac:dyDescent="0.2">
      <c r="A4" s="9" t="s">
        <v>65</v>
      </c>
      <c r="B4" s="10">
        <v>37858</v>
      </c>
      <c r="C4" s="10">
        <v>139.35414400000005</v>
      </c>
      <c r="D4" s="4" t="s">
        <v>108</v>
      </c>
      <c r="E4" s="4" t="s">
        <v>109</v>
      </c>
    </row>
    <row r="5" spans="1:5" x14ac:dyDescent="0.2">
      <c r="A5" s="9" t="s">
        <v>13</v>
      </c>
      <c r="B5" s="10">
        <v>90506</v>
      </c>
      <c r="C5" s="10">
        <v>384.23694199999989</v>
      </c>
      <c r="D5" s="11">
        <f>(B5-B4)/B4</f>
        <v>1.3906703999154737</v>
      </c>
      <c r="E5" s="11">
        <f>(C5-C4)/C4</f>
        <v>1.7572695792957529</v>
      </c>
    </row>
    <row r="6" spans="1:5" x14ac:dyDescent="0.2">
      <c r="A6" s="9" t="s">
        <v>103</v>
      </c>
      <c r="B6" s="10">
        <v>128364</v>
      </c>
      <c r="C6" s="10">
        <v>523.5910859999999</v>
      </c>
      <c r="E6" s="11"/>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A635-AB5A-494B-A62A-D39DF390DD11}">
  <dimension ref="A3:D17"/>
  <sheetViews>
    <sheetView zoomScale="108" workbookViewId="0">
      <selection activeCell="B24" sqref="B24"/>
    </sheetView>
  </sheetViews>
  <sheetFormatPr baseColWidth="10" defaultRowHeight="16" x14ac:dyDescent="0.2"/>
  <cols>
    <col min="1" max="1" width="16.83203125" bestFit="1" customWidth="1"/>
    <col min="2" max="2" width="16" bestFit="1" customWidth="1"/>
    <col min="3" max="3" width="7.83203125" bestFit="1" customWidth="1"/>
    <col min="4" max="4" width="10.5" bestFit="1" customWidth="1"/>
  </cols>
  <sheetData>
    <row r="3" spans="1:4" x14ac:dyDescent="0.2">
      <c r="A3" s="8" t="s">
        <v>104</v>
      </c>
      <c r="B3" s="8" t="s">
        <v>110</v>
      </c>
    </row>
    <row r="4" spans="1:4" x14ac:dyDescent="0.2">
      <c r="A4" s="8" t="s">
        <v>110</v>
      </c>
      <c r="B4" t="s">
        <v>65</v>
      </c>
      <c r="C4" t="s">
        <v>13</v>
      </c>
      <c r="D4" t="s">
        <v>103</v>
      </c>
    </row>
    <row r="5" spans="1:4" x14ac:dyDescent="0.2">
      <c r="A5" s="9">
        <v>1</v>
      </c>
      <c r="B5" s="10"/>
      <c r="C5" s="10">
        <v>6365</v>
      </c>
      <c r="D5" s="10">
        <v>6365</v>
      </c>
    </row>
    <row r="6" spans="1:4" x14ac:dyDescent="0.2">
      <c r="A6" s="9">
        <v>2</v>
      </c>
      <c r="B6" s="10"/>
      <c r="C6" s="10">
        <v>6500</v>
      </c>
      <c r="D6" s="10">
        <v>6500</v>
      </c>
    </row>
    <row r="7" spans="1:4" x14ac:dyDescent="0.2">
      <c r="A7" s="9">
        <v>3</v>
      </c>
      <c r="B7" s="10"/>
      <c r="C7" s="10">
        <v>6714</v>
      </c>
      <c r="D7" s="10">
        <v>6714</v>
      </c>
    </row>
    <row r="8" spans="1:4" x14ac:dyDescent="0.2">
      <c r="A8" s="9">
        <v>4</v>
      </c>
      <c r="B8" s="10">
        <v>2744</v>
      </c>
      <c r="C8" s="10">
        <v>7289</v>
      </c>
      <c r="D8" s="10">
        <v>10033</v>
      </c>
    </row>
    <row r="9" spans="1:4" x14ac:dyDescent="0.2">
      <c r="A9" s="9">
        <v>5</v>
      </c>
      <c r="B9" s="10">
        <v>2852</v>
      </c>
      <c r="C9" s="10">
        <v>7554</v>
      </c>
      <c r="D9" s="10">
        <v>10406</v>
      </c>
    </row>
    <row r="10" spans="1:4" x14ac:dyDescent="0.2">
      <c r="A10" s="9">
        <v>6</v>
      </c>
      <c r="B10" s="10">
        <v>2947</v>
      </c>
      <c r="C10" s="10">
        <v>7730</v>
      </c>
      <c r="D10" s="10">
        <v>10677</v>
      </c>
    </row>
    <row r="11" spans="1:4" x14ac:dyDescent="0.2">
      <c r="A11" s="9">
        <v>7</v>
      </c>
      <c r="B11" s="10">
        <v>3006</v>
      </c>
      <c r="C11" s="10">
        <v>7796</v>
      </c>
      <c r="D11" s="10">
        <v>10802</v>
      </c>
    </row>
    <row r="12" spans="1:4" x14ac:dyDescent="0.2">
      <c r="A12" s="9">
        <v>8</v>
      </c>
      <c r="B12" s="10">
        <v>3173</v>
      </c>
      <c r="C12" s="10">
        <v>13113</v>
      </c>
      <c r="D12" s="10">
        <v>16286</v>
      </c>
    </row>
    <row r="13" spans="1:4" x14ac:dyDescent="0.2">
      <c r="A13" s="9">
        <v>9</v>
      </c>
      <c r="B13" s="10">
        <v>5533</v>
      </c>
      <c r="C13" s="10">
        <v>9420</v>
      </c>
      <c r="D13" s="10">
        <v>14953</v>
      </c>
    </row>
    <row r="14" spans="1:4" x14ac:dyDescent="0.2">
      <c r="A14" s="9">
        <v>10</v>
      </c>
      <c r="B14" s="10">
        <v>5616</v>
      </c>
      <c r="C14" s="10">
        <v>9434</v>
      </c>
      <c r="D14" s="10">
        <v>15050</v>
      </c>
    </row>
    <row r="15" spans="1:4" x14ac:dyDescent="0.2">
      <c r="A15" s="9">
        <v>11</v>
      </c>
      <c r="B15" s="10">
        <v>5785</v>
      </c>
      <c r="C15" s="10">
        <v>8591</v>
      </c>
      <c r="D15" s="10">
        <v>14376</v>
      </c>
    </row>
    <row r="16" spans="1:4" x14ac:dyDescent="0.2">
      <c r="A16" s="9">
        <v>12</v>
      </c>
      <c r="B16" s="10">
        <v>6202</v>
      </c>
      <c r="C16" s="10"/>
      <c r="D16" s="10">
        <v>6202</v>
      </c>
    </row>
    <row r="17" spans="1:4" x14ac:dyDescent="0.2">
      <c r="A17" s="9" t="s">
        <v>103</v>
      </c>
      <c r="B17" s="10">
        <v>37858</v>
      </c>
      <c r="C17" s="10">
        <v>90506</v>
      </c>
      <c r="D17" s="10">
        <v>128364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6C97-949D-1F4E-8668-C8227FB98A00}">
  <dimension ref="A1:E19"/>
  <sheetViews>
    <sheetView zoomScale="133" workbookViewId="0">
      <selection activeCell="A2" sqref="A2"/>
    </sheetView>
  </sheetViews>
  <sheetFormatPr baseColWidth="10" defaultRowHeight="16" x14ac:dyDescent="0.2"/>
  <cols>
    <col min="1" max="1" width="12.83203125" style="4" bestFit="1" customWidth="1"/>
    <col min="2" max="2" width="30" style="14" customWidth="1"/>
    <col min="3" max="3" width="24.33203125" style="13" customWidth="1"/>
    <col min="4" max="4" width="33" customWidth="1"/>
    <col min="5" max="5" width="17.33203125" customWidth="1"/>
  </cols>
  <sheetData>
    <row r="1" spans="1:5" s="17" customFormat="1" ht="17" x14ac:dyDescent="0.25">
      <c r="A1" s="21" t="s">
        <v>5</v>
      </c>
      <c r="B1" s="19" t="s">
        <v>111</v>
      </c>
      <c r="C1" s="18" t="s">
        <v>112</v>
      </c>
      <c r="D1" s="17" t="s">
        <v>113</v>
      </c>
      <c r="E1" s="20" t="s">
        <v>114</v>
      </c>
    </row>
    <row r="2" spans="1:5" x14ac:dyDescent="0.2">
      <c r="A2" s="4" t="s">
        <v>75</v>
      </c>
      <c r="B2" s="14">
        <f>SUMIF('8486_cleaned_analysis'!F:F,A2,'8486_cleaned_analysis'!J:J)</f>
        <v>8869709</v>
      </c>
      <c r="C2" s="13">
        <f>SUMIF('8486_cleaned_analysis'!F:F,A2,'8486_cleaned_analysis'!H:H)</f>
        <v>730</v>
      </c>
      <c r="D2">
        <f>IF(C2&gt;0,B2/C2,"")</f>
        <v>12150.286301369862</v>
      </c>
      <c r="E2" s="15" t="str">
        <f>IF(D2&gt;5000,"High",IF(D2&gt;1000,"Medium","Low"))</f>
        <v>High</v>
      </c>
    </row>
    <row r="3" spans="1:5" x14ac:dyDescent="0.2">
      <c r="A3" s="4" t="s">
        <v>85</v>
      </c>
      <c r="B3" s="14">
        <f>SUMIF('8486_cleaned_analysis'!F:F,A3,'8486_cleaned_analysis'!J:J)</f>
        <v>4979872</v>
      </c>
      <c r="C3" s="13">
        <f>SUMIF('8486_cleaned_analysis'!F:F,A3,'8486_cleaned_analysis'!H:H)</f>
        <v>977</v>
      </c>
      <c r="D3">
        <f>IF(C3&gt;0,B3/C3,"")</f>
        <v>5097.1054247697029</v>
      </c>
      <c r="E3" s="15" t="str">
        <f t="shared" ref="E3:E19" si="0">IF(D3&gt;5000,"High",IF(D3&gt;1000,"Medium","Low"))</f>
        <v>High</v>
      </c>
    </row>
    <row r="4" spans="1:5" x14ac:dyDescent="0.2">
      <c r="A4" s="4" t="s">
        <v>40</v>
      </c>
      <c r="B4" s="14">
        <f>SUMIF('8486_cleaned_analysis'!F:F,A4,'8486_cleaned_analysis'!J:J)</f>
        <v>2309863</v>
      </c>
      <c r="C4" s="13">
        <f>SUMIF('8486_cleaned_analysis'!F:F,A4,'8486_cleaned_analysis'!H:H)</f>
        <v>671</v>
      </c>
      <c r="D4">
        <f>IF(C4&gt;0,B4/C4,"")</f>
        <v>3442.4187779433682</v>
      </c>
      <c r="E4" s="16" t="str">
        <f t="shared" si="0"/>
        <v>Medium</v>
      </c>
    </row>
    <row r="5" spans="1:5" x14ac:dyDescent="0.2">
      <c r="A5" s="4" t="s">
        <v>94</v>
      </c>
      <c r="B5" s="14">
        <f>SUMIF('8486_cleaned_analysis'!F:F,A5,'8486_cleaned_analysis'!J:J)</f>
        <v>360032</v>
      </c>
      <c r="C5" s="13">
        <f>SUMIF('8486_cleaned_analysis'!F:F,A5,'8486_cleaned_analysis'!H:H)</f>
        <v>107</v>
      </c>
      <c r="D5">
        <f>IF(C5&gt;0,B5/C5,"")</f>
        <v>3364.7850467289718</v>
      </c>
      <c r="E5" s="16" t="str">
        <f t="shared" si="0"/>
        <v>Medium</v>
      </c>
    </row>
    <row r="6" spans="1:5" x14ac:dyDescent="0.2">
      <c r="A6" s="4" t="s">
        <v>29</v>
      </c>
      <c r="B6" s="14">
        <f>SUMIF('8486_cleaned_analysis'!F:F,A6,'8486_cleaned_analysis'!J:J)</f>
        <v>181260299</v>
      </c>
      <c r="C6" s="13">
        <f>SUMIF('8486_cleaned_analysis'!F:F,A6,'8486_cleaned_analysis'!H:H)</f>
        <v>66200</v>
      </c>
      <c r="D6">
        <f>IF(C6&gt;0,B6/C6,"")</f>
        <v>2738.0709818731116</v>
      </c>
      <c r="E6" s="16" t="str">
        <f t="shared" si="0"/>
        <v>Medium</v>
      </c>
    </row>
    <row r="7" spans="1:5" x14ac:dyDescent="0.2">
      <c r="A7" s="4" t="s">
        <v>55</v>
      </c>
      <c r="B7" s="14">
        <f>SUMIF('8486_cleaned_analysis'!F:F,A7,'8486_cleaned_analysis'!J:J)</f>
        <v>3046559</v>
      </c>
      <c r="C7" s="13">
        <f>SUMIF('8486_cleaned_analysis'!F:F,A7,'8486_cleaned_analysis'!H:H)</f>
        <v>1220</v>
      </c>
      <c r="D7">
        <f>IF(C7&gt;0,B7/C7,"")</f>
        <v>2497.1795081967211</v>
      </c>
      <c r="E7" s="16" t="str">
        <f t="shared" si="0"/>
        <v>Medium</v>
      </c>
    </row>
    <row r="8" spans="1:5" x14ac:dyDescent="0.2">
      <c r="A8" s="4" t="s">
        <v>49</v>
      </c>
      <c r="B8" s="14">
        <f>SUMIF('8486_cleaned_analysis'!F:F,A8,'8486_cleaned_analysis'!J:J)</f>
        <v>14360</v>
      </c>
      <c r="C8" s="13">
        <f>SUMIF('8486_cleaned_analysis'!F:F,A8,'8486_cleaned_analysis'!H:H)</f>
        <v>8</v>
      </c>
      <c r="D8">
        <f>IF(C8&gt;0,B8/C8,"")</f>
        <v>1795</v>
      </c>
      <c r="E8" s="16" t="str">
        <f t="shared" si="0"/>
        <v>Medium</v>
      </c>
    </row>
    <row r="9" spans="1:5" x14ac:dyDescent="0.2">
      <c r="A9" s="4" t="s">
        <v>82</v>
      </c>
      <c r="B9" s="14">
        <f>SUMIF('8486_cleaned_analysis'!F:F,A9,'8486_cleaned_analysis'!J:J)</f>
        <v>35564</v>
      </c>
      <c r="C9" s="13">
        <f>SUMIF('8486_cleaned_analysis'!F:F,A9,'8486_cleaned_analysis'!H:H)</f>
        <v>36</v>
      </c>
      <c r="D9">
        <f>IF(C9&gt;0,B9/C9,"")</f>
        <v>987.88888888888891</v>
      </c>
      <c r="E9" s="22" t="str">
        <f t="shared" si="0"/>
        <v>Low</v>
      </c>
    </row>
    <row r="10" spans="1:5" x14ac:dyDescent="0.2">
      <c r="A10" s="4" t="s">
        <v>26</v>
      </c>
      <c r="B10" s="14">
        <f>SUMIF('8486_cleaned_analysis'!F:F,A10,'8486_cleaned_analysis'!J:J)</f>
        <v>1479363</v>
      </c>
      <c r="C10" s="13">
        <f>SUMIF('8486_cleaned_analysis'!F:F,A10,'8486_cleaned_analysis'!H:H)</f>
        <v>1655</v>
      </c>
      <c r="D10">
        <f>IF(C10&gt;0,B10/C10,"")</f>
        <v>893.8749244712991</v>
      </c>
      <c r="E10" s="22" t="str">
        <f t="shared" si="0"/>
        <v>Low</v>
      </c>
    </row>
    <row r="11" spans="1:5" x14ac:dyDescent="0.2">
      <c r="A11" s="4" t="s">
        <v>71</v>
      </c>
      <c r="B11" s="14">
        <f>SUMIF('8486_cleaned_analysis'!F:F,A11,'8486_cleaned_analysis'!J:J)</f>
        <v>932007</v>
      </c>
      <c r="C11" s="13">
        <f>SUMIF('8486_cleaned_analysis'!F:F,A11,'8486_cleaned_analysis'!H:H)</f>
        <v>1217</v>
      </c>
      <c r="D11">
        <f>IF(C11&gt;0,B11/C11,"")</f>
        <v>765.82333607230896</v>
      </c>
      <c r="E11" s="22" t="str">
        <f t="shared" si="0"/>
        <v>Low</v>
      </c>
    </row>
    <row r="12" spans="1:5" x14ac:dyDescent="0.2">
      <c r="A12" s="4" t="s">
        <v>46</v>
      </c>
      <c r="B12" s="14">
        <f>SUMIF('8486_cleaned_analysis'!F:F,A12,'8486_cleaned_analysis'!J:J)</f>
        <v>1695501</v>
      </c>
      <c r="C12" s="13">
        <f>SUMIF('8486_cleaned_analysis'!F:F,A12,'8486_cleaned_analysis'!H:H)</f>
        <v>2439</v>
      </c>
      <c r="D12">
        <f>IF(C12&gt;0,B12/C12,"")</f>
        <v>695.16236162361622</v>
      </c>
      <c r="E12" s="22" t="str">
        <f t="shared" si="0"/>
        <v>Low</v>
      </c>
    </row>
    <row r="13" spans="1:5" x14ac:dyDescent="0.2">
      <c r="A13" s="4" t="s">
        <v>21</v>
      </c>
      <c r="B13" s="14">
        <f>SUMIF('8486_cleaned_analysis'!F:F,A13,'8486_cleaned_analysis'!J:J)</f>
        <v>1758620</v>
      </c>
      <c r="C13" s="13">
        <f>SUMIF('8486_cleaned_analysis'!F:F,A13,'8486_cleaned_analysis'!H:H)</f>
        <v>3733</v>
      </c>
      <c r="D13">
        <f>IF(C13&gt;0,B13/C13,"")</f>
        <v>471.100991159925</v>
      </c>
      <c r="E13" s="22" t="str">
        <f t="shared" si="0"/>
        <v>Low</v>
      </c>
    </row>
    <row r="14" spans="1:5" x14ac:dyDescent="0.2">
      <c r="A14" s="4" t="s">
        <v>15</v>
      </c>
      <c r="B14" s="14">
        <f>SUMIF('8486_cleaned_analysis'!F:F,A14,'8486_cleaned_analysis'!J:J)</f>
        <v>1376106</v>
      </c>
      <c r="C14" s="13">
        <f>SUMIF('8486_cleaned_analysis'!F:F,A14,'8486_cleaned_analysis'!H:H)</f>
        <v>2973</v>
      </c>
      <c r="D14">
        <f>IF(C14&gt;0,B14/C14,"")</f>
        <v>462.86781029263369</v>
      </c>
      <c r="E14" s="22" t="str">
        <f t="shared" si="0"/>
        <v>Low</v>
      </c>
    </row>
    <row r="15" spans="1:5" x14ac:dyDescent="0.2">
      <c r="A15" s="4" t="s">
        <v>18</v>
      </c>
      <c r="B15" s="14">
        <f>SUMIF('8486_cleaned_analysis'!F:F,A15,'8486_cleaned_analysis'!J:J)</f>
        <v>624064</v>
      </c>
      <c r="C15" s="13">
        <f>SUMIF('8486_cleaned_analysis'!F:F,A15,'8486_cleaned_analysis'!H:H)</f>
        <v>1915</v>
      </c>
      <c r="D15">
        <f>IF(C15&gt;0,B15/C15,"")</f>
        <v>325.88198433420365</v>
      </c>
      <c r="E15" s="22" t="str">
        <f t="shared" si="0"/>
        <v>Low</v>
      </c>
    </row>
    <row r="16" spans="1:5" x14ac:dyDescent="0.2">
      <c r="A16" s="4" t="s">
        <v>32</v>
      </c>
      <c r="B16" s="14">
        <f>SUMIF('8486_cleaned_analysis'!F:F,A16,'8486_cleaned_analysis'!J:J)</f>
        <v>112845</v>
      </c>
      <c r="C16" s="13">
        <f>SUMIF('8486_cleaned_analysis'!F:F,A16,'8486_cleaned_analysis'!H:H)</f>
        <v>462</v>
      </c>
      <c r="D16">
        <f>IF(C16&gt;0,B16/C16,"")</f>
        <v>244.25324675324674</v>
      </c>
      <c r="E16" s="22" t="str">
        <f t="shared" si="0"/>
        <v>Low</v>
      </c>
    </row>
    <row r="17" spans="1:5" x14ac:dyDescent="0.2">
      <c r="A17" s="4" t="s">
        <v>43</v>
      </c>
      <c r="B17" s="14">
        <f>SUMIF('8486_cleaned_analysis'!F:F,A17,'8486_cleaned_analysis'!J:J)</f>
        <v>24317</v>
      </c>
      <c r="C17" s="13">
        <f>SUMIF('8486_cleaned_analysis'!F:F,A17,'8486_cleaned_analysis'!H:H)</f>
        <v>104</v>
      </c>
      <c r="D17">
        <f>IF(C17&gt;0,B17/C17,"")</f>
        <v>233.81730769230768</v>
      </c>
      <c r="E17" s="22" t="str">
        <f t="shared" si="0"/>
        <v>Low</v>
      </c>
    </row>
    <row r="18" spans="1:5" x14ac:dyDescent="0.2">
      <c r="A18" s="4" t="s">
        <v>52</v>
      </c>
      <c r="B18" s="14">
        <f>SUMIF('8486_cleaned_analysis'!F:F,A18,'8486_cleaned_analysis'!J:J)</f>
        <v>31735</v>
      </c>
      <c r="C18" s="13">
        <f>SUMIF('8486_cleaned_analysis'!F:F,A18,'8486_cleaned_analysis'!H:H)</f>
        <v>163</v>
      </c>
      <c r="D18">
        <f>IF(C18&gt;0,B18/C18,"")</f>
        <v>194.69325153374234</v>
      </c>
      <c r="E18" s="22" t="str">
        <f t="shared" si="0"/>
        <v>Low</v>
      </c>
    </row>
    <row r="19" spans="1:5" x14ac:dyDescent="0.2">
      <c r="A19" s="4" t="s">
        <v>58</v>
      </c>
      <c r="B19" s="14">
        <f>SUMIF('8486_cleaned_analysis'!F:F,A19,'8486_cleaned_analysis'!J:J)</f>
        <v>8078812</v>
      </c>
      <c r="C19" s="13">
        <f>SUMIF('8486_cleaned_analysis'!F:F,A19,'8486_cleaned_analysis'!H:H)</f>
        <v>43754</v>
      </c>
      <c r="D19">
        <f>IF(C19&gt;0,B19/C19,"")</f>
        <v>184.64167847511084</v>
      </c>
      <c r="E19" s="22" t="str">
        <f t="shared" si="0"/>
        <v>Low</v>
      </c>
    </row>
  </sheetData>
  <sortState xmlns:xlrd2="http://schemas.microsoft.com/office/spreadsheetml/2017/richdata2" ref="A2:D19">
    <sortCondition descending="1" ref="D7:D19"/>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6CA3-3C48-C34E-B2FF-C97027817181}">
  <dimension ref="A1:L571"/>
  <sheetViews>
    <sheetView tabSelected="1" workbookViewId="0">
      <pane ySplit="1" topLeftCell="A2" activePane="bottomLeft" state="frozen"/>
      <selection pane="bottomLeft" activeCell="N19" sqref="N19"/>
    </sheetView>
  </sheetViews>
  <sheetFormatPr baseColWidth="10" defaultRowHeight="16" x14ac:dyDescent="0.2"/>
  <cols>
    <col min="1" max="1" width="11.6640625" style="2" customWidth="1"/>
    <col min="2" max="3" width="17.6640625" style="4" bestFit="1" customWidth="1"/>
    <col min="4" max="4" width="19.5" style="4" bestFit="1" customWidth="1"/>
    <col min="5" max="5" width="40.1640625" style="2" bestFit="1" customWidth="1"/>
    <col min="6" max="6" width="17.83203125" style="4" customWidth="1"/>
    <col min="7" max="7" width="54" style="7" customWidth="1"/>
    <col min="8" max="8" width="15.83203125" style="4" customWidth="1"/>
    <col min="9" max="9" width="13.6640625" style="4" customWidth="1"/>
    <col min="10" max="10" width="15.6640625" style="4" customWidth="1"/>
    <col min="11" max="11" width="14.83203125" style="2" customWidth="1"/>
    <col min="12" max="12" width="14.6640625" style="2" customWidth="1"/>
  </cols>
  <sheetData>
    <row r="1" spans="1:12" ht="17" x14ac:dyDescent="0.2">
      <c r="A1" s="3" t="s">
        <v>0</v>
      </c>
      <c r="B1" s="1" t="s">
        <v>1</v>
      </c>
      <c r="C1" s="1" t="s">
        <v>2</v>
      </c>
      <c r="D1" s="1" t="s">
        <v>3</v>
      </c>
      <c r="E1" s="3" t="s">
        <v>4</v>
      </c>
      <c r="F1" s="1" t="s">
        <v>5</v>
      </c>
      <c r="G1" s="6" t="s">
        <v>6</v>
      </c>
      <c r="H1" s="1" t="s">
        <v>7</v>
      </c>
      <c r="I1" s="1" t="s">
        <v>8</v>
      </c>
      <c r="J1" s="1" t="s">
        <v>9</v>
      </c>
      <c r="K1" s="3" t="s">
        <v>10</v>
      </c>
      <c r="L1" s="3" t="s">
        <v>11</v>
      </c>
    </row>
    <row r="2" spans="1:12" ht="17" x14ac:dyDescent="0.2">
      <c r="A2" s="2" t="s">
        <v>12</v>
      </c>
      <c r="B2" s="4" t="s">
        <v>13</v>
      </c>
      <c r="C2" s="4">
        <v>2023</v>
      </c>
      <c r="D2" s="4">
        <v>8</v>
      </c>
      <c r="E2" s="2" t="s">
        <v>14</v>
      </c>
      <c r="F2" s="4" t="s">
        <v>15</v>
      </c>
      <c r="G2" s="7" t="s">
        <v>16</v>
      </c>
      <c r="H2" s="4">
        <v>12</v>
      </c>
      <c r="I2" s="4">
        <v>0</v>
      </c>
      <c r="J2" s="4">
        <v>12807</v>
      </c>
      <c r="K2" s="2">
        <v>0</v>
      </c>
      <c r="L2" s="2">
        <v>1.2999999999999999E-2</v>
      </c>
    </row>
    <row r="3" spans="1:12" ht="17" x14ac:dyDescent="0.2">
      <c r="A3" s="2" t="s">
        <v>12</v>
      </c>
      <c r="B3" s="4" t="s">
        <v>13</v>
      </c>
      <c r="C3" s="4">
        <v>2023</v>
      </c>
      <c r="D3" s="4">
        <v>9</v>
      </c>
      <c r="E3" s="2" t="s">
        <v>14</v>
      </c>
      <c r="F3" s="4" t="s">
        <v>15</v>
      </c>
      <c r="G3" s="7" t="s">
        <v>16</v>
      </c>
      <c r="H3" s="4">
        <v>22</v>
      </c>
      <c r="I3" s="4">
        <v>0</v>
      </c>
      <c r="J3" s="4">
        <v>11790</v>
      </c>
      <c r="K3" s="2">
        <v>0</v>
      </c>
      <c r="L3" s="2">
        <v>1.2E-2</v>
      </c>
    </row>
    <row r="4" spans="1:12" ht="34" x14ac:dyDescent="0.2">
      <c r="A4" s="2" t="s">
        <v>12</v>
      </c>
      <c r="B4" s="4" t="s">
        <v>13</v>
      </c>
      <c r="C4" s="4">
        <v>2023</v>
      </c>
      <c r="D4" s="4">
        <v>9</v>
      </c>
      <c r="E4" s="2" t="s">
        <v>17</v>
      </c>
      <c r="F4" s="4" t="s">
        <v>18</v>
      </c>
      <c r="G4" s="7" t="s">
        <v>19</v>
      </c>
      <c r="H4" s="4">
        <v>70</v>
      </c>
      <c r="I4" s="4">
        <v>0</v>
      </c>
      <c r="J4" s="4">
        <v>22216</v>
      </c>
      <c r="K4" s="2">
        <v>0</v>
      </c>
      <c r="L4" s="2">
        <v>2.1999999999999999E-2</v>
      </c>
    </row>
    <row r="5" spans="1:12" ht="17" x14ac:dyDescent="0.2">
      <c r="A5" s="2" t="s">
        <v>12</v>
      </c>
      <c r="B5" s="4" t="s">
        <v>13</v>
      </c>
      <c r="C5" s="4">
        <v>2023</v>
      </c>
      <c r="D5" s="4">
        <v>9</v>
      </c>
      <c r="E5" s="2" t="s">
        <v>20</v>
      </c>
      <c r="F5" s="4" t="s">
        <v>21</v>
      </c>
      <c r="G5" s="7" t="s">
        <v>22</v>
      </c>
      <c r="H5" s="4">
        <v>204</v>
      </c>
      <c r="I5" s="4">
        <v>0</v>
      </c>
      <c r="J5" s="4">
        <v>32693</v>
      </c>
      <c r="K5" s="2">
        <v>0</v>
      </c>
      <c r="L5" s="2">
        <v>3.3000000000000002E-2</v>
      </c>
    </row>
    <row r="6" spans="1:12" ht="17" x14ac:dyDescent="0.2">
      <c r="A6" s="2" t="s">
        <v>12</v>
      </c>
      <c r="B6" s="4" t="s">
        <v>13</v>
      </c>
      <c r="C6" s="4">
        <v>2023</v>
      </c>
      <c r="D6" s="4">
        <v>9</v>
      </c>
      <c r="E6" s="2" t="s">
        <v>23</v>
      </c>
      <c r="F6" s="4" t="s">
        <v>15</v>
      </c>
      <c r="G6" s="7" t="s">
        <v>24</v>
      </c>
      <c r="H6" s="4">
        <v>1</v>
      </c>
      <c r="I6" s="4">
        <v>0</v>
      </c>
      <c r="J6" s="4">
        <v>1498</v>
      </c>
      <c r="K6" s="2">
        <v>0</v>
      </c>
      <c r="L6" s="2">
        <v>1E-3</v>
      </c>
    </row>
    <row r="7" spans="1:12" ht="34" x14ac:dyDescent="0.2">
      <c r="A7" s="2" t="s">
        <v>12</v>
      </c>
      <c r="B7" s="4" t="s">
        <v>13</v>
      </c>
      <c r="C7" s="4">
        <v>2023</v>
      </c>
      <c r="D7" s="4">
        <v>9</v>
      </c>
      <c r="E7" s="2" t="s">
        <v>25</v>
      </c>
      <c r="F7" s="4" t="s">
        <v>26</v>
      </c>
      <c r="G7" s="7" t="s">
        <v>27</v>
      </c>
      <c r="H7" s="4">
        <v>53</v>
      </c>
      <c r="I7" s="4">
        <v>13</v>
      </c>
      <c r="J7" s="4">
        <v>48121</v>
      </c>
      <c r="K7" s="2">
        <v>1615706</v>
      </c>
      <c r="L7" s="2">
        <v>1.6639999999999999</v>
      </c>
    </row>
    <row r="8" spans="1:12" ht="34" x14ac:dyDescent="0.2">
      <c r="A8" s="2" t="s">
        <v>12</v>
      </c>
      <c r="B8" s="4" t="s">
        <v>13</v>
      </c>
      <c r="C8" s="4">
        <v>2023</v>
      </c>
      <c r="D8" s="4">
        <v>9</v>
      </c>
      <c r="E8" s="2" t="s">
        <v>17</v>
      </c>
      <c r="F8" s="4" t="s">
        <v>18</v>
      </c>
      <c r="G8" s="7" t="s">
        <v>19</v>
      </c>
      <c r="H8" s="4">
        <v>70</v>
      </c>
      <c r="I8" s="4">
        <v>0</v>
      </c>
      <c r="J8" s="4">
        <v>22216</v>
      </c>
      <c r="K8" s="2">
        <v>0</v>
      </c>
      <c r="L8" s="2">
        <v>2.1999999999999999E-2</v>
      </c>
    </row>
    <row r="9" spans="1:12" ht="17" x14ac:dyDescent="0.2">
      <c r="A9" s="2" t="s">
        <v>12</v>
      </c>
      <c r="B9" s="4" t="s">
        <v>13</v>
      </c>
      <c r="C9" s="4">
        <v>2023</v>
      </c>
      <c r="D9" s="4">
        <v>9</v>
      </c>
      <c r="E9" s="2" t="s">
        <v>28</v>
      </c>
      <c r="F9" s="4" t="s">
        <v>29</v>
      </c>
      <c r="G9" s="7" t="s">
        <v>30</v>
      </c>
      <c r="H9" s="4">
        <v>639</v>
      </c>
      <c r="I9" s="4">
        <v>5</v>
      </c>
      <c r="J9" s="4">
        <v>3220000</v>
      </c>
      <c r="K9" s="2">
        <v>810000</v>
      </c>
      <c r="L9" s="2">
        <v>4.03</v>
      </c>
    </row>
    <row r="10" spans="1:12" ht="51" x14ac:dyDescent="0.2">
      <c r="A10" s="2" t="s">
        <v>12</v>
      </c>
      <c r="B10" s="4" t="s">
        <v>13</v>
      </c>
      <c r="C10" s="4">
        <v>2023</v>
      </c>
      <c r="D10" s="4">
        <v>9</v>
      </c>
      <c r="E10" s="2" t="s">
        <v>31</v>
      </c>
      <c r="F10" s="4" t="s">
        <v>32</v>
      </c>
      <c r="G10" s="7" t="s">
        <v>33</v>
      </c>
      <c r="H10" s="4">
        <v>97</v>
      </c>
      <c r="I10" s="4">
        <v>1</v>
      </c>
      <c r="J10" s="4">
        <v>25358</v>
      </c>
      <c r="K10" s="2">
        <v>218128</v>
      </c>
      <c r="L10" s="2">
        <v>0.24299999999999999</v>
      </c>
    </row>
    <row r="11" spans="1:12" ht="17" x14ac:dyDescent="0.2">
      <c r="A11" s="2" t="s">
        <v>12</v>
      </c>
      <c r="B11" s="4" t="s">
        <v>13</v>
      </c>
      <c r="C11" s="4">
        <v>2023</v>
      </c>
      <c r="D11" s="4">
        <v>9</v>
      </c>
      <c r="E11" s="2" t="s">
        <v>34</v>
      </c>
      <c r="F11" s="4" t="s">
        <v>26</v>
      </c>
      <c r="G11" s="7" t="s">
        <v>35</v>
      </c>
      <c r="H11" s="4">
        <v>25</v>
      </c>
      <c r="I11" s="4">
        <v>3</v>
      </c>
      <c r="J11" s="4">
        <v>61807</v>
      </c>
      <c r="K11" s="2">
        <v>469488</v>
      </c>
      <c r="L11" s="2">
        <v>0.53100000000000003</v>
      </c>
    </row>
    <row r="12" spans="1:12" ht="17" x14ac:dyDescent="0.2">
      <c r="A12" s="2" t="s">
        <v>12</v>
      </c>
      <c r="B12" s="4" t="s">
        <v>13</v>
      </c>
      <c r="C12" s="4">
        <v>2023</v>
      </c>
      <c r="D12" s="4">
        <v>9</v>
      </c>
      <c r="E12" s="2" t="s">
        <v>36</v>
      </c>
      <c r="F12" s="4" t="s">
        <v>15</v>
      </c>
      <c r="G12" s="7" t="s">
        <v>37</v>
      </c>
      <c r="H12" s="4">
        <v>67</v>
      </c>
      <c r="I12" s="4">
        <v>2</v>
      </c>
      <c r="J12" s="4">
        <v>5612</v>
      </c>
      <c r="K12" s="2">
        <v>80109</v>
      </c>
      <c r="L12" s="2">
        <v>8.5999999999999993E-2</v>
      </c>
    </row>
    <row r="13" spans="1:12" ht="34" x14ac:dyDescent="0.2">
      <c r="A13" s="2" t="s">
        <v>12</v>
      </c>
      <c r="B13" s="4" t="s">
        <v>13</v>
      </c>
      <c r="C13" s="4">
        <v>2023</v>
      </c>
      <c r="D13" s="4">
        <v>9</v>
      </c>
      <c r="E13" s="2" t="s">
        <v>17</v>
      </c>
      <c r="F13" s="4" t="s">
        <v>18</v>
      </c>
      <c r="G13" s="7" t="s">
        <v>19</v>
      </c>
      <c r="H13" s="4">
        <v>70</v>
      </c>
      <c r="I13" s="4">
        <v>0</v>
      </c>
      <c r="J13" s="4">
        <v>22216</v>
      </c>
      <c r="K13" s="2">
        <v>0</v>
      </c>
      <c r="L13" s="2">
        <v>2.1999999999999999E-2</v>
      </c>
    </row>
    <row r="14" spans="1:12" ht="17" x14ac:dyDescent="0.2">
      <c r="A14" s="2" t="s">
        <v>12</v>
      </c>
      <c r="B14" s="4" t="s">
        <v>13</v>
      </c>
      <c r="C14" s="4">
        <v>2023</v>
      </c>
      <c r="D14" s="4">
        <v>9</v>
      </c>
      <c r="E14" s="2" t="s">
        <v>38</v>
      </c>
      <c r="F14" s="4" t="s">
        <v>21</v>
      </c>
      <c r="G14" s="7" t="s">
        <v>22</v>
      </c>
      <c r="H14" s="4">
        <v>263</v>
      </c>
      <c r="I14" s="4">
        <v>2</v>
      </c>
      <c r="J14" s="4">
        <v>276586</v>
      </c>
      <c r="K14" s="2">
        <v>218701</v>
      </c>
      <c r="L14" s="2">
        <v>0.495</v>
      </c>
    </row>
    <row r="15" spans="1:12" ht="17" x14ac:dyDescent="0.2">
      <c r="A15" s="2" t="s">
        <v>12</v>
      </c>
      <c r="B15" s="4" t="s">
        <v>13</v>
      </c>
      <c r="C15" s="4">
        <v>2023</v>
      </c>
      <c r="D15" s="4">
        <v>9</v>
      </c>
      <c r="E15" s="2" t="s">
        <v>39</v>
      </c>
      <c r="F15" s="4" t="s">
        <v>40</v>
      </c>
      <c r="G15" s="7" t="s">
        <v>41</v>
      </c>
      <c r="H15" s="4">
        <v>138</v>
      </c>
      <c r="I15" s="4">
        <v>0</v>
      </c>
      <c r="J15" s="4">
        <v>690454</v>
      </c>
      <c r="K15" s="2">
        <v>0</v>
      </c>
      <c r="L15" s="2">
        <v>0.69</v>
      </c>
    </row>
    <row r="16" spans="1:12" ht="17" x14ac:dyDescent="0.2">
      <c r="A16" s="2" t="s">
        <v>12</v>
      </c>
      <c r="B16" s="4" t="s">
        <v>13</v>
      </c>
      <c r="C16" s="4">
        <v>2023</v>
      </c>
      <c r="D16" s="4">
        <v>9</v>
      </c>
      <c r="E16" s="2" t="s">
        <v>42</v>
      </c>
      <c r="F16" s="4" t="s">
        <v>43</v>
      </c>
      <c r="G16" s="7" t="s">
        <v>44</v>
      </c>
      <c r="H16" s="4">
        <v>17</v>
      </c>
      <c r="I16" s="4">
        <v>0</v>
      </c>
      <c r="J16" s="4">
        <v>3590</v>
      </c>
      <c r="K16" s="2">
        <v>0</v>
      </c>
      <c r="L16" s="2">
        <v>4.0000000000000001E-3</v>
      </c>
    </row>
    <row r="17" spans="1:12" ht="17" x14ac:dyDescent="0.2">
      <c r="A17" s="2" t="s">
        <v>12</v>
      </c>
      <c r="B17" s="4" t="s">
        <v>13</v>
      </c>
      <c r="C17" s="4">
        <v>2023</v>
      </c>
      <c r="D17" s="4">
        <v>8</v>
      </c>
      <c r="E17" s="2" t="s">
        <v>45</v>
      </c>
      <c r="F17" s="4" t="s">
        <v>46</v>
      </c>
      <c r="G17" s="7" t="s">
        <v>47</v>
      </c>
      <c r="H17" s="4">
        <v>276</v>
      </c>
      <c r="I17" s="4">
        <v>5</v>
      </c>
      <c r="J17" s="4">
        <v>144612</v>
      </c>
      <c r="K17" s="2">
        <v>31300</v>
      </c>
      <c r="L17" s="2">
        <v>0.17599999999999999</v>
      </c>
    </row>
    <row r="18" spans="1:12" ht="17" x14ac:dyDescent="0.2">
      <c r="A18" s="2" t="s">
        <v>12</v>
      </c>
      <c r="B18" s="4" t="s">
        <v>13</v>
      </c>
      <c r="C18" s="4">
        <v>2023</v>
      </c>
      <c r="D18" s="4">
        <v>8</v>
      </c>
      <c r="E18" s="2" t="s">
        <v>20</v>
      </c>
      <c r="F18" s="4" t="s">
        <v>21</v>
      </c>
      <c r="G18" s="7" t="s">
        <v>22</v>
      </c>
      <c r="H18" s="4">
        <v>194</v>
      </c>
      <c r="I18" s="4">
        <v>0</v>
      </c>
      <c r="J18" s="4">
        <v>26893</v>
      </c>
      <c r="K18" s="2">
        <v>0</v>
      </c>
      <c r="L18" s="2">
        <v>2.7E-2</v>
      </c>
    </row>
    <row r="19" spans="1:12" ht="17" x14ac:dyDescent="0.2">
      <c r="A19" s="2" t="s">
        <v>12</v>
      </c>
      <c r="B19" s="4" t="s">
        <v>13</v>
      </c>
      <c r="C19" s="4">
        <v>2023</v>
      </c>
      <c r="D19" s="4">
        <v>8</v>
      </c>
      <c r="E19" s="2" t="s">
        <v>38</v>
      </c>
      <c r="F19" s="4" t="s">
        <v>21</v>
      </c>
      <c r="G19" s="7" t="s">
        <v>22</v>
      </c>
      <c r="H19" s="4">
        <v>223</v>
      </c>
      <c r="I19" s="4">
        <v>2</v>
      </c>
      <c r="J19" s="4">
        <v>277174</v>
      </c>
      <c r="K19" s="2">
        <v>225321</v>
      </c>
      <c r="L19" s="2">
        <v>0.502</v>
      </c>
    </row>
    <row r="20" spans="1:12" ht="17" x14ac:dyDescent="0.2">
      <c r="A20" s="2" t="s">
        <v>12</v>
      </c>
      <c r="B20" s="4" t="s">
        <v>13</v>
      </c>
      <c r="C20" s="4">
        <v>2023</v>
      </c>
      <c r="D20" s="4">
        <v>8</v>
      </c>
      <c r="E20" s="2" t="s">
        <v>48</v>
      </c>
      <c r="F20" s="4" t="s">
        <v>49</v>
      </c>
      <c r="G20" s="7" t="s">
        <v>50</v>
      </c>
      <c r="I20" s="4">
        <v>0</v>
      </c>
      <c r="J20" s="4">
        <v>3590</v>
      </c>
      <c r="K20" s="2">
        <v>0</v>
      </c>
      <c r="L20" s="2">
        <v>0</v>
      </c>
    </row>
    <row r="21" spans="1:12" ht="17" x14ac:dyDescent="0.2">
      <c r="A21" s="2" t="s">
        <v>12</v>
      </c>
      <c r="B21" s="4" t="s">
        <v>13</v>
      </c>
      <c r="C21" s="4">
        <v>2023</v>
      </c>
      <c r="D21" s="4">
        <v>8</v>
      </c>
      <c r="E21" s="2" t="s">
        <v>51</v>
      </c>
      <c r="F21" s="4" t="s">
        <v>52</v>
      </c>
      <c r="G21" s="7" t="s">
        <v>53</v>
      </c>
      <c r="H21" s="4">
        <v>12</v>
      </c>
      <c r="I21" s="4">
        <v>11</v>
      </c>
      <c r="J21" s="4">
        <v>2098</v>
      </c>
      <c r="K21" s="2">
        <v>244605</v>
      </c>
      <c r="L21" s="2">
        <v>0.247</v>
      </c>
    </row>
    <row r="22" spans="1:12" ht="17" x14ac:dyDescent="0.2">
      <c r="A22" s="2" t="s">
        <v>12</v>
      </c>
      <c r="B22" s="4" t="s">
        <v>13</v>
      </c>
      <c r="C22" s="4">
        <v>2023</v>
      </c>
      <c r="D22" s="4">
        <v>8</v>
      </c>
      <c r="E22" s="2" t="s">
        <v>54</v>
      </c>
      <c r="F22" s="4" t="s">
        <v>55</v>
      </c>
      <c r="G22" s="7" t="s">
        <v>56</v>
      </c>
      <c r="H22" s="4">
        <v>99</v>
      </c>
      <c r="I22" s="4">
        <v>9</v>
      </c>
      <c r="J22" s="4">
        <v>221296</v>
      </c>
      <c r="K22" s="2">
        <v>19714</v>
      </c>
      <c r="L22" s="2">
        <v>0.24099999999999999</v>
      </c>
    </row>
    <row r="23" spans="1:12" ht="17" x14ac:dyDescent="0.2">
      <c r="A23" s="2" t="s">
        <v>12</v>
      </c>
      <c r="B23" s="4" t="s">
        <v>13</v>
      </c>
      <c r="C23" s="4">
        <v>2023</v>
      </c>
      <c r="D23" s="4">
        <v>1</v>
      </c>
      <c r="E23" s="2" t="s">
        <v>57</v>
      </c>
      <c r="F23" s="4" t="s">
        <v>58</v>
      </c>
      <c r="G23" s="7" t="s">
        <v>59</v>
      </c>
      <c r="H23" s="4">
        <v>17</v>
      </c>
      <c r="I23" s="4">
        <v>10</v>
      </c>
      <c r="J23" s="4">
        <v>37699</v>
      </c>
      <c r="K23" s="2">
        <v>1656478</v>
      </c>
      <c r="L23" s="2">
        <v>1.694</v>
      </c>
    </row>
    <row r="24" spans="1:12" ht="17" x14ac:dyDescent="0.2">
      <c r="A24" s="2" t="s">
        <v>12</v>
      </c>
      <c r="B24" s="4" t="s">
        <v>13</v>
      </c>
      <c r="C24" s="4">
        <v>2023</v>
      </c>
      <c r="D24" s="4">
        <v>1</v>
      </c>
      <c r="E24" s="2" t="s">
        <v>36</v>
      </c>
      <c r="F24" s="4" t="s">
        <v>15</v>
      </c>
      <c r="G24" s="7" t="s">
        <v>37</v>
      </c>
      <c r="H24" s="4">
        <v>63</v>
      </c>
      <c r="I24" s="4">
        <v>0</v>
      </c>
      <c r="J24" s="4">
        <v>5037</v>
      </c>
      <c r="K24" s="2">
        <v>0</v>
      </c>
      <c r="L24" s="2">
        <v>5.0000000000000001E-3</v>
      </c>
    </row>
    <row r="25" spans="1:12" ht="17" x14ac:dyDescent="0.2">
      <c r="A25" s="2" t="s">
        <v>12</v>
      </c>
      <c r="B25" s="4" t="s">
        <v>13</v>
      </c>
      <c r="C25" s="4">
        <v>2023</v>
      </c>
      <c r="D25" s="4">
        <v>1</v>
      </c>
      <c r="E25" s="2" t="s">
        <v>60</v>
      </c>
      <c r="F25" s="4" t="s">
        <v>29</v>
      </c>
      <c r="G25" s="7" t="s">
        <v>30</v>
      </c>
      <c r="H25" s="4">
        <v>994</v>
      </c>
      <c r="I25" s="4">
        <v>2</v>
      </c>
      <c r="J25" s="4">
        <v>1761898</v>
      </c>
      <c r="K25" s="2">
        <v>613200</v>
      </c>
      <c r="L25" s="2">
        <v>2.375</v>
      </c>
    </row>
    <row r="26" spans="1:12" ht="34" x14ac:dyDescent="0.2">
      <c r="A26" s="2" t="s">
        <v>12</v>
      </c>
      <c r="B26" s="4" t="s">
        <v>13</v>
      </c>
      <c r="C26" s="4">
        <v>2023</v>
      </c>
      <c r="D26" s="4">
        <v>1</v>
      </c>
      <c r="E26" s="2" t="s">
        <v>61</v>
      </c>
      <c r="F26" s="4" t="s">
        <v>26</v>
      </c>
      <c r="G26" s="7" t="s">
        <v>62</v>
      </c>
      <c r="H26" s="4">
        <v>12</v>
      </c>
      <c r="I26" s="4">
        <v>0</v>
      </c>
      <c r="J26" s="4">
        <v>2767</v>
      </c>
      <c r="K26" s="2">
        <v>0</v>
      </c>
      <c r="L26" s="2">
        <v>3.0000000000000001E-3</v>
      </c>
    </row>
    <row r="27" spans="1:12" ht="17" x14ac:dyDescent="0.2">
      <c r="A27" s="2" t="s">
        <v>12</v>
      </c>
      <c r="B27" s="4" t="s">
        <v>13</v>
      </c>
      <c r="C27" s="4">
        <v>2023</v>
      </c>
      <c r="D27" s="4">
        <v>1</v>
      </c>
      <c r="E27" s="2" t="s">
        <v>54</v>
      </c>
      <c r="F27" s="4" t="s">
        <v>55</v>
      </c>
      <c r="G27" s="7" t="s">
        <v>56</v>
      </c>
      <c r="H27" s="4">
        <v>53</v>
      </c>
      <c r="I27" s="4">
        <v>3</v>
      </c>
      <c r="J27" s="4">
        <v>94498</v>
      </c>
      <c r="K27" s="2">
        <v>27821</v>
      </c>
      <c r="L27" s="2">
        <v>0.122</v>
      </c>
    </row>
    <row r="28" spans="1:12" ht="17" x14ac:dyDescent="0.2">
      <c r="A28" s="2" t="s">
        <v>12</v>
      </c>
      <c r="B28" s="4" t="s">
        <v>13</v>
      </c>
      <c r="C28" s="4">
        <v>2023</v>
      </c>
      <c r="D28" s="4">
        <v>1</v>
      </c>
      <c r="E28" s="2" t="s">
        <v>38</v>
      </c>
      <c r="F28" s="4" t="s">
        <v>21</v>
      </c>
      <c r="G28" s="7" t="s">
        <v>22</v>
      </c>
      <c r="H28" s="4">
        <v>78</v>
      </c>
      <c r="I28" s="4">
        <v>0</v>
      </c>
      <c r="J28" s="4">
        <v>6000</v>
      </c>
      <c r="K28" s="2">
        <v>0</v>
      </c>
      <c r="L28" s="2">
        <v>6.0000000000000001E-3</v>
      </c>
    </row>
    <row r="29" spans="1:12" ht="17" x14ac:dyDescent="0.2">
      <c r="A29" s="2" t="s">
        <v>12</v>
      </c>
      <c r="B29" s="4" t="s">
        <v>13</v>
      </c>
      <c r="C29" s="4">
        <v>2023</v>
      </c>
      <c r="D29" s="4">
        <v>1</v>
      </c>
      <c r="E29" s="2" t="s">
        <v>63</v>
      </c>
      <c r="F29" s="4" t="s">
        <v>26</v>
      </c>
      <c r="G29" s="7" t="s">
        <v>64</v>
      </c>
      <c r="H29" s="4">
        <v>10</v>
      </c>
      <c r="I29" s="4">
        <v>6</v>
      </c>
      <c r="J29" s="4">
        <v>4612</v>
      </c>
      <c r="K29" s="2">
        <v>1452970</v>
      </c>
      <c r="L29" s="2">
        <v>1.458</v>
      </c>
    </row>
    <row r="30" spans="1:12" ht="17" x14ac:dyDescent="0.2">
      <c r="A30" s="2" t="s">
        <v>12</v>
      </c>
      <c r="B30" s="4" t="s">
        <v>65</v>
      </c>
      <c r="C30" s="4">
        <v>2022</v>
      </c>
      <c r="D30" s="4">
        <v>4</v>
      </c>
      <c r="E30" s="2" t="s">
        <v>39</v>
      </c>
      <c r="F30" s="4" t="s">
        <v>40</v>
      </c>
      <c r="G30" s="7" t="s">
        <v>41</v>
      </c>
      <c r="H30" s="4">
        <v>30</v>
      </c>
      <c r="I30" s="4">
        <v>0</v>
      </c>
      <c r="J30" s="4">
        <v>53523</v>
      </c>
      <c r="K30" s="2">
        <v>0</v>
      </c>
      <c r="L30" s="2">
        <v>5.3999999999999999E-2</v>
      </c>
    </row>
    <row r="31" spans="1:12" ht="17" x14ac:dyDescent="0.2">
      <c r="A31" s="2" t="s">
        <v>12</v>
      </c>
      <c r="B31" s="4" t="s">
        <v>65</v>
      </c>
      <c r="C31" s="4">
        <v>2022</v>
      </c>
      <c r="D31" s="4">
        <v>4</v>
      </c>
      <c r="E31" s="2" t="s">
        <v>66</v>
      </c>
      <c r="F31" s="4" t="s">
        <v>58</v>
      </c>
      <c r="G31" s="7" t="s">
        <v>67</v>
      </c>
      <c r="H31" s="4">
        <v>48</v>
      </c>
      <c r="I31" s="4">
        <v>4</v>
      </c>
      <c r="J31" s="4">
        <v>1</v>
      </c>
      <c r="K31" s="2">
        <v>133796</v>
      </c>
      <c r="L31" s="2">
        <v>0.13400000000000001</v>
      </c>
    </row>
    <row r="32" spans="1:12" ht="34" x14ac:dyDescent="0.2">
      <c r="A32" s="2" t="s">
        <v>12</v>
      </c>
      <c r="B32" s="4" t="s">
        <v>65</v>
      </c>
      <c r="C32" s="4">
        <v>2022</v>
      </c>
      <c r="D32" s="4">
        <v>4</v>
      </c>
      <c r="E32" s="2" t="s">
        <v>17</v>
      </c>
      <c r="F32" s="4" t="s">
        <v>18</v>
      </c>
      <c r="G32" s="7" t="s">
        <v>19</v>
      </c>
      <c r="H32" s="4">
        <v>33</v>
      </c>
      <c r="I32" s="4">
        <v>0</v>
      </c>
      <c r="J32" s="4">
        <v>6101</v>
      </c>
      <c r="K32" s="2">
        <v>0</v>
      </c>
      <c r="L32" s="2">
        <v>6.0000000000000001E-3</v>
      </c>
    </row>
    <row r="33" spans="1:12" ht="34" x14ac:dyDescent="0.2">
      <c r="A33" s="2" t="s">
        <v>12</v>
      </c>
      <c r="B33" s="4" t="s">
        <v>65</v>
      </c>
      <c r="C33" s="4">
        <v>2022</v>
      </c>
      <c r="D33" s="4">
        <v>4</v>
      </c>
      <c r="E33" s="2" t="s">
        <v>25</v>
      </c>
      <c r="F33" s="4" t="s">
        <v>26</v>
      </c>
      <c r="G33" s="7" t="s">
        <v>27</v>
      </c>
      <c r="H33" s="4">
        <v>6</v>
      </c>
      <c r="I33" s="4">
        <v>1</v>
      </c>
      <c r="J33" s="4">
        <v>11717</v>
      </c>
      <c r="K33" s="2">
        <v>351820</v>
      </c>
      <c r="L33" s="2">
        <v>0.36399999999999999</v>
      </c>
    </row>
    <row r="34" spans="1:12" ht="17" x14ac:dyDescent="0.2">
      <c r="A34" s="2" t="s">
        <v>12</v>
      </c>
      <c r="B34" s="4" t="s">
        <v>65</v>
      </c>
      <c r="C34" s="4">
        <v>2022</v>
      </c>
      <c r="D34" s="4">
        <v>4</v>
      </c>
      <c r="E34" s="2" t="s">
        <v>48</v>
      </c>
      <c r="F34" s="4" t="s">
        <v>49</v>
      </c>
      <c r="G34" s="7" t="s">
        <v>50</v>
      </c>
      <c r="H34" s="4">
        <v>1</v>
      </c>
      <c r="I34" s="4">
        <v>0</v>
      </c>
      <c r="J34" s="4">
        <v>0</v>
      </c>
      <c r="K34" s="2">
        <v>0</v>
      </c>
      <c r="L34" s="2">
        <v>0</v>
      </c>
    </row>
    <row r="35" spans="1:12" ht="34" x14ac:dyDescent="0.2">
      <c r="A35" s="2" t="s">
        <v>12</v>
      </c>
      <c r="B35" s="4" t="s">
        <v>65</v>
      </c>
      <c r="C35" s="4">
        <v>2022</v>
      </c>
      <c r="D35" s="4">
        <v>4</v>
      </c>
      <c r="E35" s="2" t="s">
        <v>61</v>
      </c>
      <c r="F35" s="4" t="s">
        <v>26</v>
      </c>
      <c r="G35" s="7" t="s">
        <v>62</v>
      </c>
      <c r="H35" s="4">
        <v>2</v>
      </c>
      <c r="I35" s="4">
        <v>0</v>
      </c>
      <c r="J35" s="4">
        <v>1389</v>
      </c>
      <c r="K35" s="2">
        <v>0</v>
      </c>
      <c r="L35" s="2">
        <v>1E-3</v>
      </c>
    </row>
    <row r="36" spans="1:12" ht="17" x14ac:dyDescent="0.2">
      <c r="A36" s="2" t="s">
        <v>12</v>
      </c>
      <c r="B36" s="4" t="s">
        <v>65</v>
      </c>
      <c r="C36" s="4">
        <v>2022</v>
      </c>
      <c r="D36" s="4">
        <v>4</v>
      </c>
      <c r="E36" s="2" t="s">
        <v>68</v>
      </c>
      <c r="F36" s="4" t="s">
        <v>18</v>
      </c>
      <c r="G36" s="7" t="s">
        <v>69</v>
      </c>
      <c r="H36" s="4">
        <v>11</v>
      </c>
      <c r="I36" s="4">
        <v>0</v>
      </c>
      <c r="J36" s="4">
        <v>2059</v>
      </c>
      <c r="K36" s="2">
        <v>0</v>
      </c>
      <c r="L36" s="2">
        <v>2E-3</v>
      </c>
    </row>
    <row r="37" spans="1:12" ht="17" x14ac:dyDescent="0.2">
      <c r="A37" s="2" t="s">
        <v>12</v>
      </c>
      <c r="B37" s="4" t="s">
        <v>65</v>
      </c>
      <c r="C37" s="4">
        <v>2022</v>
      </c>
      <c r="D37" s="4">
        <v>4</v>
      </c>
      <c r="E37" s="2" t="s">
        <v>51</v>
      </c>
      <c r="F37" s="4" t="s">
        <v>52</v>
      </c>
      <c r="G37" s="7" t="s">
        <v>53</v>
      </c>
      <c r="H37" s="4">
        <v>5</v>
      </c>
      <c r="I37" s="4">
        <v>11</v>
      </c>
      <c r="J37" s="4">
        <v>311</v>
      </c>
      <c r="K37" s="2">
        <v>271576</v>
      </c>
      <c r="L37" s="2">
        <v>0.27200000000000002</v>
      </c>
    </row>
    <row r="38" spans="1:12" ht="34" x14ac:dyDescent="0.2">
      <c r="A38" s="2" t="s">
        <v>12</v>
      </c>
      <c r="B38" s="4" t="s">
        <v>65</v>
      </c>
      <c r="C38" s="4">
        <v>2022</v>
      </c>
      <c r="D38" s="4">
        <v>4</v>
      </c>
      <c r="E38" s="2" t="s">
        <v>70</v>
      </c>
      <c r="F38" s="4" t="s">
        <v>71</v>
      </c>
      <c r="G38" s="7" t="s">
        <v>72</v>
      </c>
      <c r="H38" s="4">
        <v>0</v>
      </c>
      <c r="I38" s="4">
        <v>0</v>
      </c>
      <c r="J38" s="4">
        <v>0</v>
      </c>
      <c r="K38" s="2">
        <v>0</v>
      </c>
      <c r="L38" s="2">
        <v>0</v>
      </c>
    </row>
    <row r="39" spans="1:12" ht="17" x14ac:dyDescent="0.2">
      <c r="A39" s="2" t="s">
        <v>12</v>
      </c>
      <c r="B39" s="4" t="s">
        <v>65</v>
      </c>
      <c r="C39" s="4">
        <v>2022</v>
      </c>
      <c r="D39" s="4">
        <v>4</v>
      </c>
      <c r="E39" s="2" t="s">
        <v>54</v>
      </c>
      <c r="F39" s="4" t="s">
        <v>55</v>
      </c>
      <c r="G39" s="7" t="s">
        <v>56</v>
      </c>
      <c r="H39" s="4">
        <v>10</v>
      </c>
      <c r="I39" s="4">
        <v>2</v>
      </c>
      <c r="J39" s="4">
        <v>20226</v>
      </c>
      <c r="K39" s="2">
        <v>28839</v>
      </c>
      <c r="L39" s="2">
        <v>4.9000000000000002E-2</v>
      </c>
    </row>
    <row r="40" spans="1:12" ht="17" x14ac:dyDescent="0.2">
      <c r="A40" s="2" t="s">
        <v>12</v>
      </c>
      <c r="B40" s="4" t="s">
        <v>65</v>
      </c>
      <c r="C40" s="4">
        <v>2022</v>
      </c>
      <c r="D40" s="4">
        <v>4</v>
      </c>
      <c r="E40" s="2" t="s">
        <v>60</v>
      </c>
      <c r="F40" s="4" t="s">
        <v>29</v>
      </c>
      <c r="G40" s="7" t="s">
        <v>30</v>
      </c>
      <c r="H40" s="4">
        <v>941</v>
      </c>
      <c r="I40" s="4">
        <v>1</v>
      </c>
      <c r="J40" s="4">
        <v>1366776</v>
      </c>
      <c r="K40" s="2">
        <v>186150</v>
      </c>
      <c r="L40" s="2">
        <v>1.5529999999999999</v>
      </c>
    </row>
    <row r="41" spans="1:12" ht="17" x14ac:dyDescent="0.2">
      <c r="A41" s="2" t="s">
        <v>12</v>
      </c>
      <c r="B41" s="4" t="s">
        <v>65</v>
      </c>
      <c r="C41" s="4">
        <v>2022</v>
      </c>
      <c r="D41" s="4">
        <v>4</v>
      </c>
      <c r="E41" s="2" t="s">
        <v>73</v>
      </c>
      <c r="F41" s="4" t="s">
        <v>29</v>
      </c>
      <c r="G41" s="7" t="s">
        <v>30</v>
      </c>
      <c r="H41" s="4">
        <v>1143</v>
      </c>
      <c r="I41" s="4">
        <v>1</v>
      </c>
      <c r="J41" s="4">
        <v>2513071</v>
      </c>
      <c r="K41" s="2">
        <v>3660</v>
      </c>
      <c r="L41" s="2">
        <v>2.5169999999999999</v>
      </c>
    </row>
    <row r="42" spans="1:12" ht="17" x14ac:dyDescent="0.2">
      <c r="A42" s="2" t="s">
        <v>12</v>
      </c>
      <c r="B42" s="4" t="s">
        <v>65</v>
      </c>
      <c r="C42" s="4">
        <v>2022</v>
      </c>
      <c r="D42" s="4">
        <v>4</v>
      </c>
      <c r="E42" s="2" t="s">
        <v>63</v>
      </c>
      <c r="F42" s="4" t="s">
        <v>26</v>
      </c>
      <c r="G42" s="7" t="s">
        <v>64</v>
      </c>
      <c r="H42" s="4">
        <v>7</v>
      </c>
      <c r="I42" s="4">
        <v>4</v>
      </c>
      <c r="J42" s="4">
        <v>15772</v>
      </c>
      <c r="K42" s="2">
        <v>1481070</v>
      </c>
      <c r="L42" s="2">
        <v>1.4970000000000001</v>
      </c>
    </row>
    <row r="43" spans="1:12" ht="17" x14ac:dyDescent="0.2">
      <c r="A43" s="2" t="s">
        <v>12</v>
      </c>
      <c r="B43" s="4" t="s">
        <v>65</v>
      </c>
      <c r="C43" s="4">
        <v>2022</v>
      </c>
      <c r="D43" s="4">
        <v>4</v>
      </c>
      <c r="E43" s="2" t="s">
        <v>57</v>
      </c>
      <c r="F43" s="4" t="s">
        <v>58</v>
      </c>
      <c r="G43" s="7" t="s">
        <v>59</v>
      </c>
      <c r="H43" s="4">
        <v>11</v>
      </c>
      <c r="I43" s="4">
        <v>10</v>
      </c>
      <c r="J43" s="4">
        <v>29890</v>
      </c>
      <c r="K43" s="2">
        <v>1309720</v>
      </c>
      <c r="L43" s="2">
        <v>1.34</v>
      </c>
    </row>
    <row r="44" spans="1:12" ht="17" x14ac:dyDescent="0.2">
      <c r="A44" s="2" t="s">
        <v>12</v>
      </c>
      <c r="B44" s="4" t="s">
        <v>65</v>
      </c>
      <c r="C44" s="4">
        <v>2022</v>
      </c>
      <c r="D44" s="4">
        <v>4</v>
      </c>
      <c r="E44" s="2" t="s">
        <v>74</v>
      </c>
      <c r="F44" s="4" t="s">
        <v>75</v>
      </c>
      <c r="G44" s="7" t="s">
        <v>76</v>
      </c>
      <c r="H44" s="4">
        <v>6</v>
      </c>
      <c r="I44" s="4">
        <v>0</v>
      </c>
      <c r="J44" s="4">
        <v>2498</v>
      </c>
      <c r="K44" s="2">
        <v>0</v>
      </c>
      <c r="L44" s="2">
        <v>2E-3</v>
      </c>
    </row>
    <row r="45" spans="1:12" ht="17" x14ac:dyDescent="0.2">
      <c r="A45" s="2" t="s">
        <v>12</v>
      </c>
      <c r="B45" s="4" t="s">
        <v>65</v>
      </c>
      <c r="C45" s="4">
        <v>2022</v>
      </c>
      <c r="D45" s="4">
        <v>4</v>
      </c>
      <c r="E45" s="2" t="s">
        <v>77</v>
      </c>
      <c r="F45" s="4" t="s">
        <v>15</v>
      </c>
      <c r="G45" s="7" t="s">
        <v>78</v>
      </c>
      <c r="H45" s="4">
        <v>8</v>
      </c>
      <c r="I45" s="4">
        <v>0</v>
      </c>
      <c r="J45" s="4">
        <v>90</v>
      </c>
      <c r="K45" s="2">
        <v>0</v>
      </c>
      <c r="L45" s="2">
        <v>0</v>
      </c>
    </row>
    <row r="46" spans="1:12" ht="17" x14ac:dyDescent="0.2">
      <c r="A46" s="2" t="s">
        <v>12</v>
      </c>
      <c r="B46" s="4" t="s">
        <v>65</v>
      </c>
      <c r="C46" s="4">
        <v>2022</v>
      </c>
      <c r="D46" s="4">
        <v>4</v>
      </c>
      <c r="E46" s="2" t="s">
        <v>45</v>
      </c>
      <c r="F46" s="4" t="s">
        <v>46</v>
      </c>
      <c r="G46" s="7" t="s">
        <v>47</v>
      </c>
      <c r="H46" s="4">
        <v>10</v>
      </c>
      <c r="I46" s="4">
        <v>0</v>
      </c>
      <c r="J46" s="4">
        <v>11526</v>
      </c>
      <c r="K46" s="2">
        <v>0</v>
      </c>
      <c r="L46" s="2">
        <v>1.2E-2</v>
      </c>
    </row>
    <row r="47" spans="1:12" ht="17" x14ac:dyDescent="0.2">
      <c r="A47" s="2" t="s">
        <v>12</v>
      </c>
      <c r="B47" s="4" t="s">
        <v>65</v>
      </c>
      <c r="C47" s="4">
        <v>2022</v>
      </c>
      <c r="D47" s="4">
        <v>4</v>
      </c>
      <c r="E47" s="2" t="s">
        <v>28</v>
      </c>
      <c r="F47" s="4" t="s">
        <v>29</v>
      </c>
      <c r="G47" s="7" t="s">
        <v>30</v>
      </c>
      <c r="H47" s="4">
        <v>463</v>
      </c>
      <c r="I47" s="4">
        <v>1</v>
      </c>
      <c r="J47" s="4">
        <v>2000000</v>
      </c>
      <c r="K47" s="2">
        <v>50000</v>
      </c>
      <c r="L47" s="2">
        <v>2.0499999999999998</v>
      </c>
    </row>
    <row r="48" spans="1:12" ht="17" x14ac:dyDescent="0.2">
      <c r="A48" s="2" t="s">
        <v>12</v>
      </c>
      <c r="B48" s="4" t="s">
        <v>65</v>
      </c>
      <c r="C48" s="4">
        <v>2022</v>
      </c>
      <c r="D48" s="4">
        <v>4</v>
      </c>
      <c r="E48" s="2" t="s">
        <v>79</v>
      </c>
      <c r="F48" s="4" t="s">
        <v>71</v>
      </c>
      <c r="G48" s="7" t="s">
        <v>80</v>
      </c>
      <c r="H48" s="4">
        <v>7</v>
      </c>
      <c r="I48" s="4">
        <v>0</v>
      </c>
      <c r="J48" s="4">
        <v>1700</v>
      </c>
      <c r="K48" s="2">
        <v>0</v>
      </c>
      <c r="L48" s="2">
        <v>2E-3</v>
      </c>
    </row>
    <row r="49" spans="1:12" ht="17" x14ac:dyDescent="0.2">
      <c r="A49" s="2" t="s">
        <v>12</v>
      </c>
      <c r="B49" s="4" t="s">
        <v>65</v>
      </c>
      <c r="C49" s="4">
        <v>2022</v>
      </c>
      <c r="D49" s="4">
        <v>4</v>
      </c>
      <c r="E49" s="2" t="s">
        <v>34</v>
      </c>
      <c r="F49" s="4" t="s">
        <v>26</v>
      </c>
      <c r="G49" s="7" t="s">
        <v>35</v>
      </c>
      <c r="H49" s="4">
        <v>2</v>
      </c>
      <c r="I49" s="4">
        <v>1</v>
      </c>
      <c r="J49" s="4">
        <v>526</v>
      </c>
      <c r="K49" s="2">
        <v>134140</v>
      </c>
      <c r="L49" s="2">
        <v>0.13500000000000001</v>
      </c>
    </row>
    <row r="50" spans="1:12" ht="17" x14ac:dyDescent="0.2">
      <c r="A50" s="2" t="s">
        <v>12</v>
      </c>
      <c r="B50" s="4" t="s">
        <v>65</v>
      </c>
      <c r="C50" s="4">
        <v>2022</v>
      </c>
      <c r="D50" s="4">
        <v>4</v>
      </c>
      <c r="E50" s="2" t="s">
        <v>36</v>
      </c>
      <c r="F50" s="4" t="s">
        <v>15</v>
      </c>
      <c r="G50" s="7" t="s">
        <v>37</v>
      </c>
      <c r="H50" s="4">
        <v>0</v>
      </c>
      <c r="I50" s="4">
        <v>0</v>
      </c>
      <c r="J50" s="4">
        <v>0</v>
      </c>
      <c r="K50" s="2">
        <v>0</v>
      </c>
      <c r="L50" s="2">
        <v>0</v>
      </c>
    </row>
    <row r="51" spans="1:12" ht="17" x14ac:dyDescent="0.2">
      <c r="A51" s="2" t="s">
        <v>12</v>
      </c>
      <c r="B51" s="4" t="s">
        <v>13</v>
      </c>
      <c r="C51" s="4">
        <v>2023</v>
      </c>
      <c r="D51" s="4">
        <v>4</v>
      </c>
      <c r="E51" s="2" t="s">
        <v>81</v>
      </c>
      <c r="F51" s="4" t="s">
        <v>82</v>
      </c>
      <c r="G51" s="7" t="s">
        <v>83</v>
      </c>
      <c r="H51" s="4">
        <v>3</v>
      </c>
      <c r="I51" s="4">
        <v>0</v>
      </c>
      <c r="J51" s="4">
        <v>117</v>
      </c>
      <c r="K51" s="2">
        <v>0</v>
      </c>
      <c r="L51" s="2">
        <v>0</v>
      </c>
    </row>
    <row r="52" spans="1:12" ht="17" x14ac:dyDescent="0.2">
      <c r="A52" s="2" t="s">
        <v>12</v>
      </c>
      <c r="B52" s="4" t="s">
        <v>13</v>
      </c>
      <c r="C52" s="4">
        <v>2023</v>
      </c>
      <c r="D52" s="4">
        <v>4</v>
      </c>
      <c r="E52" s="2" t="s">
        <v>84</v>
      </c>
      <c r="F52" s="4" t="s">
        <v>85</v>
      </c>
      <c r="G52" s="7" t="s">
        <v>86</v>
      </c>
      <c r="L52" s="2">
        <v>0</v>
      </c>
    </row>
    <row r="53" spans="1:12" ht="34" x14ac:dyDescent="0.2">
      <c r="A53" s="2" t="s">
        <v>12</v>
      </c>
      <c r="B53" s="4" t="s">
        <v>13</v>
      </c>
      <c r="C53" s="4">
        <v>2023</v>
      </c>
      <c r="D53" s="4">
        <v>4</v>
      </c>
      <c r="E53" s="2" t="s">
        <v>70</v>
      </c>
      <c r="F53" s="4" t="s">
        <v>71</v>
      </c>
      <c r="G53" s="7" t="s">
        <v>72</v>
      </c>
      <c r="H53" s="4">
        <v>32</v>
      </c>
      <c r="I53" s="4">
        <v>0</v>
      </c>
      <c r="J53" s="4">
        <v>8015</v>
      </c>
      <c r="K53" s="2">
        <v>0</v>
      </c>
      <c r="L53" s="2">
        <v>8.0000000000000002E-3</v>
      </c>
    </row>
    <row r="54" spans="1:12" ht="17" x14ac:dyDescent="0.2">
      <c r="A54" s="2" t="s">
        <v>12</v>
      </c>
      <c r="B54" s="4" t="s">
        <v>13</v>
      </c>
      <c r="C54" s="4">
        <v>2023</v>
      </c>
      <c r="D54" s="4">
        <v>4</v>
      </c>
      <c r="E54" s="2" t="s">
        <v>73</v>
      </c>
      <c r="F54" s="4" t="s">
        <v>29</v>
      </c>
      <c r="G54" s="7" t="s">
        <v>30</v>
      </c>
      <c r="H54" s="4">
        <v>1666</v>
      </c>
      <c r="I54" s="4">
        <v>1</v>
      </c>
      <c r="J54" s="4">
        <v>4044558</v>
      </c>
      <c r="K54" s="2">
        <v>864960</v>
      </c>
      <c r="L54" s="2">
        <v>4.91</v>
      </c>
    </row>
    <row r="55" spans="1:12" ht="17" x14ac:dyDescent="0.2">
      <c r="A55" s="2" t="s">
        <v>12</v>
      </c>
      <c r="B55" s="4" t="s">
        <v>13</v>
      </c>
      <c r="C55" s="4">
        <v>2023</v>
      </c>
      <c r="D55" s="4">
        <v>4</v>
      </c>
      <c r="E55" s="2" t="s">
        <v>39</v>
      </c>
      <c r="F55" s="4" t="s">
        <v>40</v>
      </c>
      <c r="G55" s="7" t="s">
        <v>41</v>
      </c>
      <c r="L55" s="2">
        <v>0</v>
      </c>
    </row>
    <row r="56" spans="1:12" ht="17" x14ac:dyDescent="0.2">
      <c r="A56" s="2" t="s">
        <v>12</v>
      </c>
      <c r="B56" s="4" t="s">
        <v>13</v>
      </c>
      <c r="C56" s="4">
        <v>2023</v>
      </c>
      <c r="D56" s="4">
        <v>4</v>
      </c>
      <c r="E56" s="2" t="s">
        <v>87</v>
      </c>
      <c r="F56" s="4" t="s">
        <v>85</v>
      </c>
      <c r="G56" s="7" t="s">
        <v>88</v>
      </c>
      <c r="H56" s="4">
        <v>24</v>
      </c>
      <c r="I56" s="4">
        <v>0</v>
      </c>
      <c r="J56" s="4">
        <v>10674</v>
      </c>
      <c r="K56" s="2">
        <v>0</v>
      </c>
      <c r="L56" s="2">
        <v>1.0999999999999999E-2</v>
      </c>
    </row>
    <row r="57" spans="1:12" ht="17" x14ac:dyDescent="0.2">
      <c r="A57" s="2" t="s">
        <v>12</v>
      </c>
      <c r="B57" s="4" t="s">
        <v>13</v>
      </c>
      <c r="C57" s="4">
        <v>2023</v>
      </c>
      <c r="D57" s="4">
        <v>4</v>
      </c>
      <c r="E57" s="2" t="s">
        <v>45</v>
      </c>
      <c r="F57" s="4" t="s">
        <v>46</v>
      </c>
      <c r="G57" s="7" t="s">
        <v>47</v>
      </c>
      <c r="H57" s="4">
        <v>258</v>
      </c>
      <c r="I57" s="4">
        <v>4</v>
      </c>
      <c r="J57" s="4">
        <v>103348</v>
      </c>
      <c r="K57" s="2">
        <v>29360</v>
      </c>
      <c r="L57" s="2">
        <v>0.13300000000000001</v>
      </c>
    </row>
    <row r="58" spans="1:12" ht="17" x14ac:dyDescent="0.2">
      <c r="A58" s="2" t="s">
        <v>12</v>
      </c>
      <c r="B58" s="4" t="s">
        <v>13</v>
      </c>
      <c r="C58" s="4">
        <v>2023</v>
      </c>
      <c r="D58" s="4">
        <v>4</v>
      </c>
      <c r="E58" s="2" t="s">
        <v>20</v>
      </c>
      <c r="F58" s="4" t="s">
        <v>21</v>
      </c>
      <c r="G58" s="7" t="s">
        <v>22</v>
      </c>
      <c r="H58" s="4">
        <v>107</v>
      </c>
      <c r="I58" s="4">
        <v>0</v>
      </c>
      <c r="J58" s="4">
        <v>9338</v>
      </c>
      <c r="K58" s="2">
        <v>0</v>
      </c>
      <c r="L58" s="2">
        <v>8.9999999999999993E-3</v>
      </c>
    </row>
    <row r="59" spans="1:12" ht="17" x14ac:dyDescent="0.2">
      <c r="A59" s="2" t="s">
        <v>12</v>
      </c>
      <c r="B59" s="4" t="s">
        <v>13</v>
      </c>
      <c r="C59" s="4">
        <v>2023</v>
      </c>
      <c r="D59" s="4">
        <v>4</v>
      </c>
      <c r="E59" s="2" t="s">
        <v>60</v>
      </c>
      <c r="F59" s="4" t="s">
        <v>29</v>
      </c>
      <c r="G59" s="7" t="s">
        <v>30</v>
      </c>
      <c r="H59" s="4">
        <v>1024</v>
      </c>
      <c r="I59" s="4">
        <v>2</v>
      </c>
      <c r="J59" s="4">
        <v>2214653</v>
      </c>
      <c r="K59" s="2">
        <v>823223</v>
      </c>
      <c r="L59" s="2">
        <v>3.0379999999999998</v>
      </c>
    </row>
    <row r="60" spans="1:12" ht="17" x14ac:dyDescent="0.2">
      <c r="A60" s="2" t="s">
        <v>12</v>
      </c>
      <c r="B60" s="4" t="s">
        <v>13</v>
      </c>
      <c r="C60" s="4">
        <v>2023</v>
      </c>
      <c r="D60" s="4">
        <v>4</v>
      </c>
      <c r="E60" s="2" t="s">
        <v>38</v>
      </c>
      <c r="F60" s="4" t="s">
        <v>21</v>
      </c>
      <c r="G60" s="7" t="s">
        <v>22</v>
      </c>
      <c r="H60" s="4">
        <v>103</v>
      </c>
      <c r="I60" s="4">
        <v>2</v>
      </c>
      <c r="J60" s="4">
        <v>142024</v>
      </c>
      <c r="K60" s="2">
        <v>196093</v>
      </c>
      <c r="L60" s="2">
        <v>0.33800000000000002</v>
      </c>
    </row>
    <row r="61" spans="1:12" ht="17" x14ac:dyDescent="0.2">
      <c r="A61" s="2" t="s">
        <v>12</v>
      </c>
      <c r="B61" s="4" t="s">
        <v>13</v>
      </c>
      <c r="C61" s="4">
        <v>2023</v>
      </c>
      <c r="D61" s="4">
        <v>4</v>
      </c>
      <c r="E61" s="2" t="s">
        <v>74</v>
      </c>
      <c r="F61" s="4" t="s">
        <v>75</v>
      </c>
      <c r="G61" s="7" t="s">
        <v>89</v>
      </c>
      <c r="H61" s="4">
        <v>8</v>
      </c>
      <c r="I61" s="4">
        <v>0</v>
      </c>
      <c r="J61" s="4">
        <v>11948</v>
      </c>
      <c r="K61" s="2">
        <v>0</v>
      </c>
      <c r="L61" s="2">
        <v>1.2E-2</v>
      </c>
    </row>
    <row r="62" spans="1:12" ht="17" x14ac:dyDescent="0.2">
      <c r="A62" s="2" t="s">
        <v>12</v>
      </c>
      <c r="B62" s="4" t="s">
        <v>13</v>
      </c>
      <c r="C62" s="4">
        <v>2023</v>
      </c>
      <c r="D62" s="4">
        <v>4</v>
      </c>
      <c r="E62" s="2" t="s">
        <v>34</v>
      </c>
      <c r="F62" s="4" t="s">
        <v>26</v>
      </c>
      <c r="G62" s="7" t="s">
        <v>35</v>
      </c>
      <c r="H62" s="4">
        <v>19</v>
      </c>
      <c r="I62" s="4">
        <v>3</v>
      </c>
      <c r="J62" s="4">
        <v>14876</v>
      </c>
      <c r="K62" s="2">
        <v>441657</v>
      </c>
      <c r="L62" s="2">
        <v>0.45700000000000002</v>
      </c>
    </row>
    <row r="63" spans="1:12" ht="17" x14ac:dyDescent="0.2">
      <c r="A63" s="2" t="s">
        <v>12</v>
      </c>
      <c r="B63" s="4" t="s">
        <v>13</v>
      </c>
      <c r="C63" s="4">
        <v>2023</v>
      </c>
      <c r="D63" s="4">
        <v>4</v>
      </c>
      <c r="E63" s="2" t="s">
        <v>90</v>
      </c>
      <c r="F63" s="4" t="s">
        <v>85</v>
      </c>
      <c r="G63" s="7" t="s">
        <v>91</v>
      </c>
      <c r="H63" s="4">
        <v>130</v>
      </c>
      <c r="I63" s="4">
        <v>7</v>
      </c>
      <c r="J63" s="4">
        <v>298987</v>
      </c>
      <c r="K63" s="2">
        <v>56387</v>
      </c>
      <c r="L63" s="2">
        <v>0.35499999999999998</v>
      </c>
    </row>
    <row r="64" spans="1:12" ht="17" x14ac:dyDescent="0.2">
      <c r="A64" s="2" t="s">
        <v>12</v>
      </c>
      <c r="B64" s="4" t="s">
        <v>13</v>
      </c>
      <c r="C64" s="4">
        <v>2023</v>
      </c>
      <c r="D64" s="4">
        <v>4</v>
      </c>
      <c r="E64" s="2" t="s">
        <v>63</v>
      </c>
      <c r="F64" s="4" t="s">
        <v>26</v>
      </c>
      <c r="G64" s="7" t="s">
        <v>64</v>
      </c>
      <c r="H64" s="4">
        <v>14</v>
      </c>
      <c r="I64" s="4">
        <v>6</v>
      </c>
      <c r="J64" s="4">
        <v>10699</v>
      </c>
      <c r="K64" s="2">
        <v>1732732</v>
      </c>
      <c r="L64" s="2">
        <v>1.7430000000000001</v>
      </c>
    </row>
    <row r="65" spans="1:12" ht="17" x14ac:dyDescent="0.2">
      <c r="A65" s="2" t="s">
        <v>12</v>
      </c>
      <c r="B65" s="4" t="s">
        <v>13</v>
      </c>
      <c r="C65" s="4">
        <v>2023</v>
      </c>
      <c r="D65" s="4">
        <v>4</v>
      </c>
      <c r="E65" s="2" t="s">
        <v>77</v>
      </c>
      <c r="F65" s="4" t="s">
        <v>15</v>
      </c>
      <c r="G65" s="7" t="s">
        <v>78</v>
      </c>
      <c r="H65" s="4">
        <v>20</v>
      </c>
      <c r="I65" s="4">
        <v>3</v>
      </c>
      <c r="J65" s="4">
        <v>6665</v>
      </c>
      <c r="K65" s="2">
        <v>84995</v>
      </c>
      <c r="L65" s="2">
        <v>9.1999999999999998E-2</v>
      </c>
    </row>
    <row r="66" spans="1:12" ht="34" x14ac:dyDescent="0.2">
      <c r="A66" s="2" t="s">
        <v>12</v>
      </c>
      <c r="B66" s="4" t="s">
        <v>13</v>
      </c>
      <c r="C66" s="4">
        <v>2023</v>
      </c>
      <c r="D66" s="4">
        <v>4</v>
      </c>
      <c r="E66" s="2" t="s">
        <v>25</v>
      </c>
      <c r="F66" s="4" t="s">
        <v>26</v>
      </c>
      <c r="G66" s="7" t="s">
        <v>27</v>
      </c>
      <c r="H66" s="4">
        <v>43</v>
      </c>
      <c r="I66" s="4">
        <v>11</v>
      </c>
      <c r="J66" s="4">
        <v>27102</v>
      </c>
      <c r="K66" s="2">
        <v>1270038</v>
      </c>
      <c r="L66" s="2">
        <v>1.2969999999999999</v>
      </c>
    </row>
    <row r="67" spans="1:12" ht="17" x14ac:dyDescent="0.2">
      <c r="A67" s="2" t="s">
        <v>12</v>
      </c>
      <c r="B67" s="4" t="s">
        <v>13</v>
      </c>
      <c r="C67" s="4">
        <v>2023</v>
      </c>
      <c r="D67" s="4">
        <v>4</v>
      </c>
      <c r="E67" s="2" t="s">
        <v>36</v>
      </c>
      <c r="F67" s="4" t="s">
        <v>15</v>
      </c>
      <c r="G67" s="7" t="s">
        <v>37</v>
      </c>
      <c r="H67" s="4">
        <v>64</v>
      </c>
      <c r="I67" s="4">
        <v>0</v>
      </c>
      <c r="J67" s="4">
        <v>7999</v>
      </c>
      <c r="K67" s="2">
        <v>0</v>
      </c>
      <c r="L67" s="2">
        <v>8.0000000000000002E-3</v>
      </c>
    </row>
    <row r="68" spans="1:12" ht="17" x14ac:dyDescent="0.2">
      <c r="A68" s="2" t="s">
        <v>12</v>
      </c>
      <c r="B68" s="4" t="s">
        <v>13</v>
      </c>
      <c r="C68" s="4">
        <v>2023</v>
      </c>
      <c r="D68" s="4">
        <v>4</v>
      </c>
      <c r="E68" s="2" t="s">
        <v>54</v>
      </c>
      <c r="F68" s="4" t="s">
        <v>55</v>
      </c>
      <c r="G68" s="7" t="s">
        <v>56</v>
      </c>
      <c r="H68" s="4">
        <v>77</v>
      </c>
      <c r="I68" s="4">
        <v>4</v>
      </c>
      <c r="J68" s="4">
        <v>131075</v>
      </c>
      <c r="K68" s="2">
        <v>17800</v>
      </c>
      <c r="L68" s="2">
        <v>0.14899999999999999</v>
      </c>
    </row>
    <row r="69" spans="1:12" ht="17" x14ac:dyDescent="0.2">
      <c r="A69" s="2" t="s">
        <v>12</v>
      </c>
      <c r="B69" s="4" t="s">
        <v>13</v>
      </c>
      <c r="C69" s="4">
        <v>2023</v>
      </c>
      <c r="D69" s="4">
        <v>4</v>
      </c>
      <c r="E69" s="2" t="s">
        <v>42</v>
      </c>
      <c r="F69" s="4" t="s">
        <v>43</v>
      </c>
      <c r="G69" s="7" t="s">
        <v>44</v>
      </c>
      <c r="H69" s="4">
        <v>15</v>
      </c>
      <c r="I69" s="4">
        <v>0</v>
      </c>
      <c r="J69" s="4">
        <v>1812</v>
      </c>
      <c r="K69" s="2">
        <v>0</v>
      </c>
      <c r="L69" s="2">
        <v>2E-3</v>
      </c>
    </row>
    <row r="70" spans="1:12" ht="17" x14ac:dyDescent="0.2">
      <c r="A70" s="2" t="s">
        <v>12</v>
      </c>
      <c r="B70" s="4" t="s">
        <v>13</v>
      </c>
      <c r="C70" s="4">
        <v>2023</v>
      </c>
      <c r="D70" s="4">
        <v>4</v>
      </c>
      <c r="E70" s="2" t="s">
        <v>14</v>
      </c>
      <c r="F70" s="4" t="s">
        <v>15</v>
      </c>
      <c r="G70" s="7" t="s">
        <v>16</v>
      </c>
      <c r="H70" s="4">
        <v>6</v>
      </c>
      <c r="I70" s="4">
        <v>2</v>
      </c>
      <c r="J70" s="4">
        <v>2251</v>
      </c>
      <c r="K70" s="2">
        <v>132</v>
      </c>
      <c r="L70" s="2">
        <v>2E-3</v>
      </c>
    </row>
    <row r="71" spans="1:12" ht="17" x14ac:dyDescent="0.2">
      <c r="A71" s="2" t="s">
        <v>12</v>
      </c>
      <c r="B71" s="4" t="s">
        <v>13</v>
      </c>
      <c r="C71" s="4">
        <v>2023</v>
      </c>
      <c r="D71" s="4">
        <v>4</v>
      </c>
      <c r="E71" s="2" t="s">
        <v>51</v>
      </c>
      <c r="F71" s="4" t="s">
        <v>52</v>
      </c>
      <c r="G71" s="7" t="s">
        <v>53</v>
      </c>
      <c r="H71" s="4">
        <v>12</v>
      </c>
      <c r="I71" s="4">
        <v>11</v>
      </c>
      <c r="J71" s="4">
        <v>4288</v>
      </c>
      <c r="K71" s="2">
        <v>228607</v>
      </c>
      <c r="L71" s="2">
        <v>0.23300000000000001</v>
      </c>
    </row>
    <row r="72" spans="1:12" ht="34" x14ac:dyDescent="0.2">
      <c r="A72" s="2" t="s">
        <v>12</v>
      </c>
      <c r="B72" s="4" t="s">
        <v>13</v>
      </c>
      <c r="C72" s="4">
        <v>2023</v>
      </c>
      <c r="D72" s="4">
        <v>4</v>
      </c>
      <c r="E72" s="2" t="s">
        <v>61</v>
      </c>
      <c r="F72" s="4" t="s">
        <v>26</v>
      </c>
      <c r="G72" s="7" t="s">
        <v>62</v>
      </c>
      <c r="H72" s="4">
        <v>20</v>
      </c>
      <c r="I72" s="4">
        <v>0</v>
      </c>
      <c r="J72" s="4">
        <v>8187</v>
      </c>
      <c r="K72" s="2">
        <v>0</v>
      </c>
      <c r="L72" s="2">
        <v>8.0000000000000002E-3</v>
      </c>
    </row>
    <row r="73" spans="1:12" ht="17" x14ac:dyDescent="0.2">
      <c r="A73" s="2" t="s">
        <v>12</v>
      </c>
      <c r="B73" s="4" t="s">
        <v>13</v>
      </c>
      <c r="C73" s="4">
        <v>2023</v>
      </c>
      <c r="D73" s="4">
        <v>4</v>
      </c>
      <c r="E73" s="2" t="s">
        <v>23</v>
      </c>
      <c r="F73" s="4" t="s">
        <v>15</v>
      </c>
      <c r="G73" s="7" t="s">
        <v>24</v>
      </c>
      <c r="L73" s="2">
        <v>0</v>
      </c>
    </row>
    <row r="74" spans="1:12" ht="17" x14ac:dyDescent="0.2">
      <c r="A74" s="2" t="s">
        <v>12</v>
      </c>
      <c r="B74" s="4" t="s">
        <v>13</v>
      </c>
      <c r="C74" s="4">
        <v>2023</v>
      </c>
      <c r="D74" s="4">
        <v>4</v>
      </c>
      <c r="E74" s="2" t="s">
        <v>92</v>
      </c>
      <c r="F74" s="4" t="s">
        <v>75</v>
      </c>
      <c r="G74" s="7" t="s">
        <v>93</v>
      </c>
      <c r="H74" s="4">
        <v>46</v>
      </c>
      <c r="I74" s="4">
        <v>0</v>
      </c>
      <c r="J74" s="4">
        <v>611819</v>
      </c>
      <c r="K74" s="2">
        <v>0</v>
      </c>
      <c r="L74" s="2">
        <v>0.61199999999999999</v>
      </c>
    </row>
    <row r="75" spans="1:12" ht="17" x14ac:dyDescent="0.2">
      <c r="A75" s="2" t="s">
        <v>12</v>
      </c>
      <c r="B75" s="4" t="s">
        <v>13</v>
      </c>
      <c r="C75" s="4">
        <v>2023</v>
      </c>
      <c r="D75" s="4">
        <v>4</v>
      </c>
      <c r="F75" s="4" t="s">
        <v>94</v>
      </c>
      <c r="G75" s="7" t="s">
        <v>95</v>
      </c>
      <c r="H75" s="4">
        <v>15</v>
      </c>
      <c r="I75" s="4">
        <v>6</v>
      </c>
      <c r="J75" s="4">
        <v>534</v>
      </c>
      <c r="K75" s="2">
        <v>486706</v>
      </c>
      <c r="L75" s="2">
        <v>0.48699999999999999</v>
      </c>
    </row>
    <row r="76" spans="1:12" ht="34" x14ac:dyDescent="0.2">
      <c r="A76" s="2" t="s">
        <v>12</v>
      </c>
      <c r="B76" s="4" t="s">
        <v>13</v>
      </c>
      <c r="C76" s="4">
        <v>2023</v>
      </c>
      <c r="D76" s="4">
        <v>4</v>
      </c>
      <c r="E76" s="2" t="s">
        <v>17</v>
      </c>
      <c r="F76" s="4" t="s">
        <v>18</v>
      </c>
      <c r="G76" s="7" t="s">
        <v>19</v>
      </c>
      <c r="H76" s="4">
        <v>65</v>
      </c>
      <c r="I76" s="4">
        <v>0</v>
      </c>
      <c r="J76" s="4">
        <v>24563</v>
      </c>
      <c r="K76" s="2">
        <v>0</v>
      </c>
      <c r="L76" s="2">
        <v>2.5000000000000001E-2</v>
      </c>
    </row>
    <row r="77" spans="1:12" ht="17" x14ac:dyDescent="0.2">
      <c r="A77" s="2" t="s">
        <v>12</v>
      </c>
      <c r="B77" s="4" t="s">
        <v>13</v>
      </c>
      <c r="C77" s="4">
        <v>2023</v>
      </c>
      <c r="D77" s="4">
        <v>4</v>
      </c>
      <c r="E77" s="2" t="s">
        <v>68</v>
      </c>
      <c r="F77" s="4" t="s">
        <v>18</v>
      </c>
      <c r="G77" s="7" t="s">
        <v>69</v>
      </c>
      <c r="H77" s="4">
        <v>28</v>
      </c>
      <c r="I77" s="4">
        <v>7</v>
      </c>
      <c r="J77" s="4">
        <v>9087</v>
      </c>
      <c r="K77" s="2">
        <v>609081</v>
      </c>
      <c r="L77" s="2">
        <v>0.61799999999999999</v>
      </c>
    </row>
    <row r="78" spans="1:12" ht="17" x14ac:dyDescent="0.2">
      <c r="A78" s="2" t="s">
        <v>12</v>
      </c>
      <c r="B78" s="4" t="s">
        <v>13</v>
      </c>
      <c r="C78" s="4">
        <v>2023</v>
      </c>
      <c r="D78" s="4">
        <v>4</v>
      </c>
      <c r="E78" s="2" t="s">
        <v>48</v>
      </c>
      <c r="F78" s="4" t="s">
        <v>49</v>
      </c>
      <c r="G78" s="7" t="s">
        <v>50</v>
      </c>
      <c r="L78" s="2">
        <v>0</v>
      </c>
    </row>
    <row r="79" spans="1:12" ht="17" x14ac:dyDescent="0.2">
      <c r="A79" s="2" t="s">
        <v>12</v>
      </c>
      <c r="B79" s="4" t="s">
        <v>13</v>
      </c>
      <c r="C79" s="4">
        <v>2023</v>
      </c>
      <c r="D79" s="4">
        <v>4</v>
      </c>
      <c r="E79" s="2" t="s">
        <v>28</v>
      </c>
      <c r="F79" s="4" t="s">
        <v>29</v>
      </c>
      <c r="G79" s="7" t="s">
        <v>30</v>
      </c>
      <c r="H79" s="4">
        <v>621</v>
      </c>
      <c r="I79" s="4">
        <v>2</v>
      </c>
      <c r="J79" s="4">
        <v>3120000</v>
      </c>
      <c r="K79" s="2">
        <v>1490000</v>
      </c>
      <c r="L79" s="2">
        <v>4.6100000000000003</v>
      </c>
    </row>
    <row r="80" spans="1:12" ht="17" x14ac:dyDescent="0.2">
      <c r="A80" s="2" t="s">
        <v>12</v>
      </c>
      <c r="B80" s="4" t="s">
        <v>13</v>
      </c>
      <c r="C80" s="4">
        <v>2023</v>
      </c>
      <c r="D80" s="4">
        <v>4</v>
      </c>
      <c r="E80" s="2" t="s">
        <v>57</v>
      </c>
      <c r="F80" s="4" t="s">
        <v>58</v>
      </c>
      <c r="G80" s="7" t="s">
        <v>59</v>
      </c>
      <c r="H80" s="4">
        <v>23</v>
      </c>
      <c r="I80" s="4">
        <v>16</v>
      </c>
      <c r="J80" s="4">
        <v>52676</v>
      </c>
      <c r="K80" s="2">
        <v>1706136</v>
      </c>
      <c r="L80" s="2">
        <v>1.7589999999999999</v>
      </c>
    </row>
    <row r="81" spans="1:12" ht="17" x14ac:dyDescent="0.2">
      <c r="A81" s="2" t="s">
        <v>12</v>
      </c>
      <c r="B81" s="4" t="s">
        <v>13</v>
      </c>
      <c r="C81" s="4">
        <v>2023</v>
      </c>
      <c r="D81" s="4">
        <v>4</v>
      </c>
      <c r="E81" s="2" t="s">
        <v>79</v>
      </c>
      <c r="F81" s="4" t="s">
        <v>71</v>
      </c>
      <c r="G81" s="7" t="s">
        <v>80</v>
      </c>
      <c r="H81" s="4">
        <v>64</v>
      </c>
      <c r="I81" s="4">
        <v>6</v>
      </c>
      <c r="J81" s="4">
        <v>44000</v>
      </c>
      <c r="K81" s="2">
        <v>172000</v>
      </c>
      <c r="L81" s="2">
        <v>0.216</v>
      </c>
    </row>
    <row r="82" spans="1:12" ht="17" x14ac:dyDescent="0.2">
      <c r="A82" s="2" t="s">
        <v>12</v>
      </c>
      <c r="B82" s="4" t="s">
        <v>13</v>
      </c>
      <c r="C82" s="4">
        <v>2023</v>
      </c>
      <c r="D82" s="4">
        <v>4</v>
      </c>
      <c r="E82" s="2" t="s">
        <v>66</v>
      </c>
      <c r="F82" s="4" t="s">
        <v>58</v>
      </c>
      <c r="G82" s="7" t="s">
        <v>67</v>
      </c>
      <c r="H82" s="4">
        <v>2782</v>
      </c>
      <c r="I82" s="4">
        <v>15</v>
      </c>
      <c r="J82" s="4">
        <v>413578</v>
      </c>
      <c r="K82" s="2">
        <v>6361689</v>
      </c>
      <c r="L82" s="2">
        <v>6.7750000000000004</v>
      </c>
    </row>
    <row r="83" spans="1:12" ht="34" x14ac:dyDescent="0.2">
      <c r="A83" s="2" t="s">
        <v>12</v>
      </c>
      <c r="B83" s="4" t="s">
        <v>65</v>
      </c>
      <c r="C83" s="4">
        <v>2022</v>
      </c>
      <c r="D83" s="4">
        <v>8</v>
      </c>
      <c r="E83" s="2" t="s">
        <v>25</v>
      </c>
      <c r="F83" s="4" t="s">
        <v>26</v>
      </c>
      <c r="G83" s="7" t="s">
        <v>27</v>
      </c>
      <c r="H83" s="4">
        <v>7</v>
      </c>
      <c r="I83" s="4">
        <v>1</v>
      </c>
      <c r="J83" s="4">
        <v>15736</v>
      </c>
      <c r="K83" s="2">
        <v>480420</v>
      </c>
      <c r="L83" s="2">
        <v>0.496</v>
      </c>
    </row>
    <row r="84" spans="1:12" ht="17" x14ac:dyDescent="0.2">
      <c r="A84" s="2" t="s">
        <v>12</v>
      </c>
      <c r="B84" s="4" t="s">
        <v>65</v>
      </c>
      <c r="C84" s="4">
        <v>2022</v>
      </c>
      <c r="D84" s="4">
        <v>8</v>
      </c>
      <c r="E84" s="2" t="s">
        <v>51</v>
      </c>
      <c r="F84" s="4" t="s">
        <v>52</v>
      </c>
      <c r="G84" s="7" t="s">
        <v>53</v>
      </c>
      <c r="H84" s="4">
        <v>5</v>
      </c>
      <c r="I84" s="4">
        <v>11</v>
      </c>
      <c r="J84" s="4">
        <v>285</v>
      </c>
      <c r="K84" s="2">
        <v>266072</v>
      </c>
      <c r="L84" s="2">
        <v>0.26600000000000001</v>
      </c>
    </row>
    <row r="85" spans="1:12" ht="17" x14ac:dyDescent="0.2">
      <c r="A85" s="2" t="s">
        <v>12</v>
      </c>
      <c r="B85" s="4" t="s">
        <v>65</v>
      </c>
      <c r="C85" s="4">
        <v>2022</v>
      </c>
      <c r="D85" s="4">
        <v>8</v>
      </c>
      <c r="E85" s="2" t="s">
        <v>39</v>
      </c>
      <c r="F85" s="4" t="s">
        <v>40</v>
      </c>
      <c r="G85" s="7" t="s">
        <v>41</v>
      </c>
      <c r="H85" s="4">
        <v>37</v>
      </c>
      <c r="I85" s="4">
        <v>0</v>
      </c>
      <c r="J85" s="4">
        <v>42753</v>
      </c>
      <c r="K85" s="2">
        <v>0</v>
      </c>
      <c r="L85" s="2">
        <v>4.2999999999999997E-2</v>
      </c>
    </row>
    <row r="86" spans="1:12" ht="34" x14ac:dyDescent="0.2">
      <c r="A86" s="2" t="s">
        <v>12</v>
      </c>
      <c r="B86" s="4" t="s">
        <v>65</v>
      </c>
      <c r="C86" s="4">
        <v>2022</v>
      </c>
      <c r="D86" s="4">
        <v>8</v>
      </c>
      <c r="E86" s="2" t="s">
        <v>17</v>
      </c>
      <c r="F86" s="4" t="s">
        <v>18</v>
      </c>
      <c r="G86" s="7" t="s">
        <v>19</v>
      </c>
      <c r="H86" s="4">
        <v>36</v>
      </c>
      <c r="I86" s="4">
        <v>0</v>
      </c>
      <c r="J86" s="4">
        <v>5339</v>
      </c>
      <c r="K86" s="2">
        <v>0</v>
      </c>
      <c r="L86" s="2">
        <v>5.0000000000000001E-3</v>
      </c>
    </row>
    <row r="87" spans="1:12" ht="17" x14ac:dyDescent="0.2">
      <c r="A87" s="2" t="s">
        <v>12</v>
      </c>
      <c r="B87" s="4" t="s">
        <v>65</v>
      </c>
      <c r="C87" s="4">
        <v>2022</v>
      </c>
      <c r="D87" s="4">
        <v>8</v>
      </c>
      <c r="E87" s="2" t="s">
        <v>36</v>
      </c>
      <c r="F87" s="4" t="s">
        <v>15</v>
      </c>
      <c r="G87" s="7" t="s">
        <v>37</v>
      </c>
      <c r="H87" s="4">
        <v>60</v>
      </c>
      <c r="I87" s="4">
        <v>0</v>
      </c>
      <c r="J87" s="4">
        <v>1372</v>
      </c>
      <c r="K87" s="2">
        <v>0</v>
      </c>
      <c r="L87" s="2">
        <v>1E-3</v>
      </c>
    </row>
    <row r="88" spans="1:12" ht="34" x14ac:dyDescent="0.2">
      <c r="A88" s="2" t="s">
        <v>12</v>
      </c>
      <c r="B88" s="4" t="s">
        <v>65</v>
      </c>
      <c r="C88" s="4">
        <v>2022</v>
      </c>
      <c r="D88" s="4">
        <v>8</v>
      </c>
      <c r="E88" s="2" t="s">
        <v>61</v>
      </c>
      <c r="F88" s="4" t="s">
        <v>26</v>
      </c>
      <c r="G88" s="7" t="s">
        <v>62</v>
      </c>
      <c r="H88" s="4">
        <v>6</v>
      </c>
      <c r="I88" s="4">
        <v>0</v>
      </c>
      <c r="J88" s="4">
        <v>1646</v>
      </c>
      <c r="K88" s="2">
        <v>0</v>
      </c>
      <c r="L88" s="2">
        <v>2E-3</v>
      </c>
    </row>
    <row r="89" spans="1:12" ht="17" x14ac:dyDescent="0.2">
      <c r="A89" s="2" t="s">
        <v>12</v>
      </c>
      <c r="B89" s="4" t="s">
        <v>65</v>
      </c>
      <c r="C89" s="4">
        <v>2022</v>
      </c>
      <c r="D89" s="4">
        <v>8</v>
      </c>
      <c r="E89" s="2" t="s">
        <v>54</v>
      </c>
      <c r="F89" s="4" t="s">
        <v>55</v>
      </c>
      <c r="G89" s="7" t="s">
        <v>56</v>
      </c>
      <c r="H89" s="4">
        <v>14</v>
      </c>
      <c r="I89" s="4">
        <v>2</v>
      </c>
      <c r="J89" s="4">
        <v>26156</v>
      </c>
      <c r="K89" s="2">
        <v>24522</v>
      </c>
      <c r="L89" s="2">
        <v>5.0999999999999997E-2</v>
      </c>
    </row>
    <row r="90" spans="1:12" ht="17" x14ac:dyDescent="0.2">
      <c r="A90" s="2" t="s">
        <v>12</v>
      </c>
      <c r="B90" s="4" t="s">
        <v>65</v>
      </c>
      <c r="C90" s="4">
        <v>2022</v>
      </c>
      <c r="D90" s="4">
        <v>8</v>
      </c>
      <c r="E90" s="2" t="s">
        <v>66</v>
      </c>
      <c r="F90" s="4" t="s">
        <v>58</v>
      </c>
      <c r="G90" s="7" t="s">
        <v>67</v>
      </c>
      <c r="H90" s="4">
        <v>48</v>
      </c>
      <c r="I90" s="4">
        <v>4</v>
      </c>
      <c r="J90" s="4">
        <v>2692</v>
      </c>
      <c r="K90" s="2">
        <v>1121308</v>
      </c>
      <c r="L90" s="2">
        <v>1.1240000000000001</v>
      </c>
    </row>
    <row r="91" spans="1:12" ht="17" x14ac:dyDescent="0.2">
      <c r="A91" s="2" t="s">
        <v>12</v>
      </c>
      <c r="B91" s="4" t="s">
        <v>65</v>
      </c>
      <c r="C91" s="4">
        <v>2022</v>
      </c>
      <c r="D91" s="4">
        <v>8</v>
      </c>
      <c r="E91" s="2" t="s">
        <v>77</v>
      </c>
      <c r="F91" s="4" t="s">
        <v>15</v>
      </c>
      <c r="G91" s="7" t="s">
        <v>78</v>
      </c>
      <c r="H91" s="4">
        <v>9</v>
      </c>
      <c r="I91" s="4">
        <v>0</v>
      </c>
      <c r="J91" s="4">
        <v>496</v>
      </c>
      <c r="K91" s="2">
        <v>0</v>
      </c>
      <c r="L91" s="2">
        <v>0</v>
      </c>
    </row>
    <row r="92" spans="1:12" ht="17" x14ac:dyDescent="0.2">
      <c r="A92" s="2" t="s">
        <v>12</v>
      </c>
      <c r="B92" s="4" t="s">
        <v>65</v>
      </c>
      <c r="C92" s="4">
        <v>2022</v>
      </c>
      <c r="D92" s="4">
        <v>8</v>
      </c>
      <c r="E92" s="2" t="s">
        <v>63</v>
      </c>
      <c r="F92" s="4" t="s">
        <v>26</v>
      </c>
      <c r="G92" s="7" t="s">
        <v>64</v>
      </c>
      <c r="H92" s="4">
        <v>9</v>
      </c>
      <c r="I92" s="4">
        <v>5</v>
      </c>
      <c r="J92" s="4">
        <v>13829</v>
      </c>
      <c r="K92" s="2">
        <v>1541055</v>
      </c>
      <c r="L92" s="2">
        <v>1.5549999999999999</v>
      </c>
    </row>
    <row r="93" spans="1:12" ht="17" x14ac:dyDescent="0.2">
      <c r="A93" s="2" t="s">
        <v>12</v>
      </c>
      <c r="B93" s="4" t="s">
        <v>65</v>
      </c>
      <c r="C93" s="4">
        <v>2022</v>
      </c>
      <c r="D93" s="4">
        <v>8</v>
      </c>
      <c r="E93" s="2" t="s">
        <v>57</v>
      </c>
      <c r="F93" s="4" t="s">
        <v>58</v>
      </c>
      <c r="G93" s="7" t="s">
        <v>59</v>
      </c>
      <c r="H93" s="4">
        <v>11</v>
      </c>
      <c r="I93" s="4">
        <v>10</v>
      </c>
      <c r="J93" s="4">
        <v>29411</v>
      </c>
      <c r="K93" s="2">
        <v>1232470</v>
      </c>
      <c r="L93" s="2">
        <v>1.262</v>
      </c>
    </row>
    <row r="94" spans="1:12" ht="17" x14ac:dyDescent="0.2">
      <c r="A94" s="2" t="s">
        <v>12</v>
      </c>
      <c r="B94" s="4" t="s">
        <v>65</v>
      </c>
      <c r="C94" s="4">
        <v>2022</v>
      </c>
      <c r="D94" s="4">
        <v>8</v>
      </c>
      <c r="E94" s="2" t="s">
        <v>34</v>
      </c>
      <c r="F94" s="4" t="s">
        <v>26</v>
      </c>
      <c r="G94" s="7" t="s">
        <v>35</v>
      </c>
      <c r="H94" s="4">
        <v>6</v>
      </c>
      <c r="I94" s="4">
        <v>1</v>
      </c>
      <c r="J94" s="4">
        <v>2096</v>
      </c>
      <c r="K94" s="2">
        <v>142720</v>
      </c>
      <c r="L94" s="2">
        <v>0.14499999999999999</v>
      </c>
    </row>
    <row r="95" spans="1:12" ht="34" x14ac:dyDescent="0.2">
      <c r="A95" s="2" t="s">
        <v>12</v>
      </c>
      <c r="B95" s="4" t="s">
        <v>65</v>
      </c>
      <c r="C95" s="4">
        <v>2022</v>
      </c>
      <c r="D95" s="4">
        <v>8</v>
      </c>
      <c r="E95" s="2" t="s">
        <v>70</v>
      </c>
      <c r="F95" s="4" t="s">
        <v>71</v>
      </c>
      <c r="G95" s="7" t="s">
        <v>72</v>
      </c>
      <c r="H95" s="4">
        <v>5</v>
      </c>
      <c r="I95" s="4">
        <v>0</v>
      </c>
      <c r="J95" s="4">
        <v>630</v>
      </c>
      <c r="K95" s="2">
        <v>0</v>
      </c>
      <c r="L95" s="2">
        <v>1E-3</v>
      </c>
    </row>
    <row r="96" spans="1:12" ht="17" x14ac:dyDescent="0.2">
      <c r="A96" s="2" t="s">
        <v>12</v>
      </c>
      <c r="B96" s="4" t="s">
        <v>65</v>
      </c>
      <c r="C96" s="4">
        <v>2022</v>
      </c>
      <c r="D96" s="4">
        <v>8</v>
      </c>
      <c r="E96" s="2" t="s">
        <v>45</v>
      </c>
      <c r="F96" s="4" t="s">
        <v>46</v>
      </c>
      <c r="G96" s="7" t="s">
        <v>47</v>
      </c>
      <c r="H96" s="4">
        <v>29</v>
      </c>
      <c r="I96" s="4">
        <v>1</v>
      </c>
      <c r="J96" s="4">
        <v>30583</v>
      </c>
      <c r="K96" s="2">
        <v>0</v>
      </c>
      <c r="L96" s="2">
        <v>3.1E-2</v>
      </c>
    </row>
    <row r="97" spans="1:12" ht="17" x14ac:dyDescent="0.2">
      <c r="A97" s="2" t="s">
        <v>12</v>
      </c>
      <c r="B97" s="4" t="s">
        <v>65</v>
      </c>
      <c r="C97" s="4">
        <v>2022</v>
      </c>
      <c r="D97" s="4">
        <v>8</v>
      </c>
      <c r="E97" s="2" t="s">
        <v>73</v>
      </c>
      <c r="F97" s="4" t="s">
        <v>29</v>
      </c>
      <c r="G97" s="7" t="s">
        <v>30</v>
      </c>
      <c r="H97" s="4">
        <v>1320</v>
      </c>
      <c r="I97" s="4">
        <v>1</v>
      </c>
      <c r="J97" s="4">
        <v>3462684</v>
      </c>
      <c r="K97" s="2">
        <v>705960</v>
      </c>
      <c r="L97" s="2">
        <v>4.1689999999999996</v>
      </c>
    </row>
    <row r="98" spans="1:12" ht="17" x14ac:dyDescent="0.2">
      <c r="A98" s="2" t="s">
        <v>12</v>
      </c>
      <c r="B98" s="4" t="s">
        <v>65</v>
      </c>
      <c r="C98" s="4">
        <v>2022</v>
      </c>
      <c r="D98" s="4">
        <v>8</v>
      </c>
      <c r="E98" s="2" t="s">
        <v>68</v>
      </c>
      <c r="F98" s="4" t="s">
        <v>18</v>
      </c>
      <c r="G98" s="7" t="s">
        <v>69</v>
      </c>
      <c r="H98" s="4">
        <v>11</v>
      </c>
      <c r="I98" s="4">
        <v>1</v>
      </c>
      <c r="J98" s="4">
        <v>773</v>
      </c>
      <c r="K98" s="2">
        <v>0</v>
      </c>
      <c r="L98" s="2">
        <v>1E-3</v>
      </c>
    </row>
    <row r="99" spans="1:12" ht="17" x14ac:dyDescent="0.2">
      <c r="A99" s="2" t="s">
        <v>12</v>
      </c>
      <c r="B99" s="4" t="s">
        <v>65</v>
      </c>
      <c r="C99" s="4">
        <v>2022</v>
      </c>
      <c r="D99" s="4">
        <v>8</v>
      </c>
      <c r="E99" s="2" t="s">
        <v>81</v>
      </c>
      <c r="F99" s="4" t="s">
        <v>82</v>
      </c>
      <c r="G99" s="7" t="s">
        <v>83</v>
      </c>
      <c r="H99" s="4">
        <v>1</v>
      </c>
      <c r="I99" s="4">
        <v>0</v>
      </c>
      <c r="J99" s="4">
        <v>2354</v>
      </c>
      <c r="K99" s="2">
        <v>0</v>
      </c>
      <c r="L99" s="2">
        <v>2E-3</v>
      </c>
    </row>
    <row r="100" spans="1:12" ht="17" x14ac:dyDescent="0.2">
      <c r="A100" s="2" t="s">
        <v>12</v>
      </c>
      <c r="B100" s="4" t="s">
        <v>65</v>
      </c>
      <c r="C100" s="4">
        <v>2022</v>
      </c>
      <c r="D100" s="4">
        <v>8</v>
      </c>
      <c r="E100" s="2" t="s">
        <v>74</v>
      </c>
      <c r="F100" s="4" t="s">
        <v>75</v>
      </c>
      <c r="G100" s="7" t="s">
        <v>76</v>
      </c>
      <c r="H100" s="4">
        <v>6</v>
      </c>
      <c r="I100" s="4">
        <v>0</v>
      </c>
      <c r="J100" s="4">
        <v>1009</v>
      </c>
      <c r="K100" s="2">
        <v>0</v>
      </c>
      <c r="L100" s="2">
        <v>1E-3</v>
      </c>
    </row>
    <row r="101" spans="1:12" x14ac:dyDescent="0.2">
      <c r="A101" s="2" t="s">
        <v>12</v>
      </c>
      <c r="B101" s="4" t="s">
        <v>65</v>
      </c>
      <c r="C101" s="4">
        <v>2022</v>
      </c>
      <c r="D101" s="4">
        <v>11</v>
      </c>
      <c r="E101" s="2" t="s">
        <v>14</v>
      </c>
      <c r="F101" s="4" t="s">
        <v>15</v>
      </c>
      <c r="H101" s="4">
        <v>1</v>
      </c>
      <c r="I101" s="4">
        <v>0</v>
      </c>
      <c r="J101" s="4">
        <v>274</v>
      </c>
      <c r="K101" s="2">
        <v>0</v>
      </c>
      <c r="L101" s="2">
        <v>2.7E-4</v>
      </c>
    </row>
    <row r="102" spans="1:12" ht="17" x14ac:dyDescent="0.2">
      <c r="A102" s="2" t="s">
        <v>12</v>
      </c>
      <c r="B102" s="4" t="s">
        <v>65</v>
      </c>
      <c r="C102" s="4">
        <v>2022</v>
      </c>
      <c r="D102" s="4">
        <v>8</v>
      </c>
      <c r="E102" s="2" t="s">
        <v>48</v>
      </c>
      <c r="F102" s="4" t="s">
        <v>49</v>
      </c>
      <c r="G102" s="7" t="s">
        <v>50</v>
      </c>
      <c r="H102" s="4">
        <v>1</v>
      </c>
      <c r="I102" s="4">
        <v>0</v>
      </c>
      <c r="J102" s="4">
        <v>0</v>
      </c>
      <c r="K102" s="2">
        <v>0</v>
      </c>
      <c r="L102" s="2">
        <v>0</v>
      </c>
    </row>
    <row r="103" spans="1:12" ht="17" x14ac:dyDescent="0.2">
      <c r="A103" s="2" t="s">
        <v>12</v>
      </c>
      <c r="B103" s="4" t="s">
        <v>65</v>
      </c>
      <c r="C103" s="4">
        <v>2022</v>
      </c>
      <c r="D103" s="4">
        <v>8</v>
      </c>
      <c r="E103" s="2" t="s">
        <v>28</v>
      </c>
      <c r="F103" s="4" t="s">
        <v>29</v>
      </c>
      <c r="G103" s="7" t="s">
        <v>30</v>
      </c>
      <c r="H103" s="4">
        <v>543</v>
      </c>
      <c r="I103" s="4">
        <v>2</v>
      </c>
      <c r="J103" s="4">
        <v>2410000</v>
      </c>
      <c r="K103" s="2">
        <v>1060000</v>
      </c>
      <c r="L103" s="2">
        <v>3.47</v>
      </c>
    </row>
    <row r="104" spans="1:12" ht="17" x14ac:dyDescent="0.2">
      <c r="A104" s="2" t="s">
        <v>12</v>
      </c>
      <c r="B104" s="4" t="s">
        <v>65</v>
      </c>
      <c r="C104" s="4">
        <v>2022</v>
      </c>
      <c r="D104" s="4">
        <v>8</v>
      </c>
      <c r="E104" s="2" t="s">
        <v>60</v>
      </c>
      <c r="F104" s="4" t="s">
        <v>29</v>
      </c>
      <c r="G104" s="7" t="s">
        <v>30</v>
      </c>
      <c r="H104" s="4">
        <v>982</v>
      </c>
      <c r="I104" s="4">
        <v>1</v>
      </c>
      <c r="J104" s="4">
        <v>1691718</v>
      </c>
      <c r="K104" s="2">
        <v>286170</v>
      </c>
      <c r="L104" s="2">
        <v>1.978</v>
      </c>
    </row>
    <row r="105" spans="1:12" ht="17" x14ac:dyDescent="0.2">
      <c r="A105" s="2" t="s">
        <v>12</v>
      </c>
      <c r="B105" s="4" t="s">
        <v>65</v>
      </c>
      <c r="C105" s="4">
        <v>2022</v>
      </c>
      <c r="D105" s="4">
        <v>8</v>
      </c>
      <c r="E105" s="2" t="s">
        <v>79</v>
      </c>
      <c r="F105" s="4" t="s">
        <v>71</v>
      </c>
      <c r="G105" s="7" t="s">
        <v>80</v>
      </c>
      <c r="H105" s="4">
        <v>27</v>
      </c>
      <c r="I105" s="4">
        <v>2</v>
      </c>
      <c r="J105" s="4">
        <v>12869</v>
      </c>
      <c r="K105" s="2">
        <v>861</v>
      </c>
      <c r="L105" s="2">
        <v>1.4E-2</v>
      </c>
    </row>
    <row r="106" spans="1:12" ht="34" x14ac:dyDescent="0.2">
      <c r="A106" s="2" t="s">
        <v>12</v>
      </c>
      <c r="B106" s="4" t="s">
        <v>13</v>
      </c>
      <c r="C106" s="4">
        <v>2023</v>
      </c>
      <c r="D106" s="4">
        <v>8</v>
      </c>
      <c r="E106" s="2" t="s">
        <v>61</v>
      </c>
      <c r="F106" s="4" t="s">
        <v>26</v>
      </c>
      <c r="G106" s="7" t="s">
        <v>27</v>
      </c>
      <c r="H106" s="4">
        <v>52</v>
      </c>
      <c r="I106" s="4">
        <v>12</v>
      </c>
      <c r="J106" s="4">
        <v>35136</v>
      </c>
      <c r="K106" s="2">
        <v>1497936</v>
      </c>
      <c r="L106" s="2">
        <v>1.5329999999999999</v>
      </c>
    </row>
    <row r="107" spans="1:12" ht="51" x14ac:dyDescent="0.2">
      <c r="A107" s="2" t="s">
        <v>12</v>
      </c>
      <c r="B107" s="4" t="s">
        <v>13</v>
      </c>
      <c r="C107" s="4">
        <v>2023</v>
      </c>
      <c r="D107" s="4">
        <v>8</v>
      </c>
      <c r="E107" s="2" t="s">
        <v>31</v>
      </c>
      <c r="F107" s="4" t="s">
        <v>32</v>
      </c>
      <c r="G107" s="7" t="s">
        <v>33</v>
      </c>
      <c r="H107" s="4">
        <v>92</v>
      </c>
      <c r="I107" s="4">
        <v>1</v>
      </c>
      <c r="J107" s="4">
        <v>21720</v>
      </c>
      <c r="K107" s="2">
        <v>181266</v>
      </c>
      <c r="L107" s="2">
        <v>0.20300000000000001</v>
      </c>
    </row>
    <row r="108" spans="1:12" x14ac:dyDescent="0.2">
      <c r="A108" s="2" t="s">
        <v>12</v>
      </c>
      <c r="B108" s="4" t="s">
        <v>13</v>
      </c>
      <c r="C108" s="4">
        <v>2023</v>
      </c>
      <c r="D108" s="4">
        <v>8</v>
      </c>
      <c r="E108" s="2" t="s">
        <v>66</v>
      </c>
      <c r="F108" s="4" t="s">
        <v>58</v>
      </c>
      <c r="H108" s="4">
        <v>2782</v>
      </c>
      <c r="I108" s="4">
        <v>17</v>
      </c>
      <c r="J108" s="4">
        <v>652263</v>
      </c>
      <c r="K108" s="2">
        <v>7178071</v>
      </c>
      <c r="L108" s="2">
        <v>7.83</v>
      </c>
    </row>
    <row r="109" spans="1:12" ht="17" x14ac:dyDescent="0.2">
      <c r="A109" s="2" t="s">
        <v>12</v>
      </c>
      <c r="B109" s="4" t="s">
        <v>13</v>
      </c>
      <c r="C109" s="4">
        <v>2023</v>
      </c>
      <c r="D109" s="4">
        <v>8</v>
      </c>
      <c r="E109" s="2" t="s">
        <v>34</v>
      </c>
      <c r="F109" s="4" t="s">
        <v>26</v>
      </c>
      <c r="G109" s="7" t="s">
        <v>35</v>
      </c>
      <c r="H109" s="4">
        <v>28</v>
      </c>
      <c r="I109" s="4">
        <v>3</v>
      </c>
      <c r="J109" s="4">
        <v>24253</v>
      </c>
      <c r="K109" s="2">
        <v>313184</v>
      </c>
      <c r="L109" s="2">
        <v>0.33700000000000002</v>
      </c>
    </row>
    <row r="110" spans="1:12" ht="17" x14ac:dyDescent="0.2">
      <c r="A110" s="2" t="s">
        <v>12</v>
      </c>
      <c r="B110" s="4" t="s">
        <v>13</v>
      </c>
      <c r="C110" s="4">
        <v>2023</v>
      </c>
      <c r="D110" s="4">
        <v>8</v>
      </c>
      <c r="E110" s="2" t="s">
        <v>36</v>
      </c>
      <c r="F110" s="4" t="s">
        <v>15</v>
      </c>
      <c r="G110" s="7" t="s">
        <v>37</v>
      </c>
      <c r="H110" s="4">
        <v>67</v>
      </c>
      <c r="I110" s="4">
        <v>2</v>
      </c>
      <c r="J110" s="4">
        <v>19805</v>
      </c>
      <c r="K110" s="2">
        <v>100752</v>
      </c>
      <c r="L110" s="2">
        <v>0.121</v>
      </c>
    </row>
    <row r="111" spans="1:12" ht="34" x14ac:dyDescent="0.2">
      <c r="A111" s="2" t="s">
        <v>12</v>
      </c>
      <c r="B111" s="4" t="s">
        <v>13</v>
      </c>
      <c r="C111" s="4">
        <v>2023</v>
      </c>
      <c r="D111" s="4">
        <v>8</v>
      </c>
      <c r="E111" s="2" t="s">
        <v>17</v>
      </c>
      <c r="F111" s="4" t="s">
        <v>18</v>
      </c>
      <c r="G111" s="7" t="s">
        <v>19</v>
      </c>
      <c r="H111" s="4">
        <v>70</v>
      </c>
      <c r="I111" s="4">
        <v>0</v>
      </c>
      <c r="J111" s="4">
        <v>38473</v>
      </c>
      <c r="K111" s="2">
        <v>0</v>
      </c>
      <c r="L111" s="2">
        <v>3.7999999999999999E-2</v>
      </c>
    </row>
    <row r="112" spans="1:12" ht="34" x14ac:dyDescent="0.2">
      <c r="A112" s="2" t="s">
        <v>12</v>
      </c>
      <c r="B112" s="4" t="s">
        <v>13</v>
      </c>
      <c r="C112" s="4">
        <v>2023</v>
      </c>
      <c r="D112" s="4">
        <v>8</v>
      </c>
      <c r="E112" s="2" t="s">
        <v>70</v>
      </c>
      <c r="F112" s="4" t="s">
        <v>71</v>
      </c>
      <c r="G112" s="7" t="s">
        <v>72</v>
      </c>
      <c r="H112" s="4">
        <v>33</v>
      </c>
      <c r="I112" s="4">
        <v>0</v>
      </c>
      <c r="J112" s="4">
        <v>8714</v>
      </c>
      <c r="K112" s="2">
        <v>0</v>
      </c>
      <c r="L112" s="2">
        <v>8.9999999999999993E-3</v>
      </c>
    </row>
    <row r="113" spans="1:12" ht="17" x14ac:dyDescent="0.2">
      <c r="A113" s="2" t="s">
        <v>12</v>
      </c>
      <c r="B113" s="4" t="s">
        <v>13</v>
      </c>
      <c r="C113" s="4">
        <v>2023</v>
      </c>
      <c r="D113" s="4">
        <v>8</v>
      </c>
      <c r="E113" s="2" t="s">
        <v>45</v>
      </c>
      <c r="F113" s="4" t="s">
        <v>46</v>
      </c>
      <c r="G113" s="7" t="s">
        <v>47</v>
      </c>
      <c r="H113" s="4">
        <v>276</v>
      </c>
      <c r="I113" s="4">
        <v>5</v>
      </c>
      <c r="J113" s="4">
        <v>144612</v>
      </c>
      <c r="K113" s="2">
        <v>31300</v>
      </c>
      <c r="L113" s="2">
        <v>0.17599999999999999</v>
      </c>
    </row>
    <row r="114" spans="1:12" ht="17" x14ac:dyDescent="0.2">
      <c r="A114" s="2" t="s">
        <v>12</v>
      </c>
      <c r="B114" s="4" t="s">
        <v>13</v>
      </c>
      <c r="C114" s="4">
        <v>2023</v>
      </c>
      <c r="D114" s="4">
        <v>8</v>
      </c>
      <c r="E114" s="2" t="s">
        <v>54</v>
      </c>
      <c r="F114" s="4" t="s">
        <v>55</v>
      </c>
      <c r="G114" s="7" t="s">
        <v>56</v>
      </c>
      <c r="H114" s="4">
        <v>99</v>
      </c>
      <c r="I114" s="4">
        <v>9</v>
      </c>
      <c r="J114" s="4">
        <v>221296</v>
      </c>
      <c r="K114" s="2">
        <v>19714</v>
      </c>
      <c r="L114" s="2">
        <v>0.24099999999999999</v>
      </c>
    </row>
    <row r="115" spans="1:12" ht="34" x14ac:dyDescent="0.2">
      <c r="A115" s="2" t="s">
        <v>12</v>
      </c>
      <c r="B115" s="4" t="s">
        <v>13</v>
      </c>
      <c r="C115" s="4">
        <v>2023</v>
      </c>
      <c r="D115" s="4">
        <v>8</v>
      </c>
      <c r="E115" s="2" t="s">
        <v>61</v>
      </c>
      <c r="F115" s="4" t="s">
        <v>26</v>
      </c>
      <c r="G115" s="7" t="s">
        <v>96</v>
      </c>
      <c r="H115" s="4">
        <v>27</v>
      </c>
      <c r="I115" s="4">
        <v>0</v>
      </c>
      <c r="J115" s="4">
        <v>14916</v>
      </c>
      <c r="K115" s="2">
        <v>0</v>
      </c>
      <c r="L115" s="2">
        <v>1.4999999999999999E-2</v>
      </c>
    </row>
    <row r="116" spans="1:12" ht="17" x14ac:dyDescent="0.2">
      <c r="A116" s="2" t="s">
        <v>12</v>
      </c>
      <c r="B116" s="4" t="s">
        <v>13</v>
      </c>
      <c r="C116" s="4">
        <v>2023</v>
      </c>
      <c r="D116" s="4">
        <v>8</v>
      </c>
      <c r="E116" s="2" t="s">
        <v>81</v>
      </c>
      <c r="F116" s="4" t="s">
        <v>82</v>
      </c>
      <c r="G116" s="7" t="s">
        <v>83</v>
      </c>
      <c r="H116" s="4">
        <v>3</v>
      </c>
      <c r="I116" s="4">
        <v>0</v>
      </c>
      <c r="J116" s="4">
        <v>2163</v>
      </c>
      <c r="K116" s="2">
        <v>0</v>
      </c>
      <c r="L116" s="2">
        <v>2E-3</v>
      </c>
    </row>
    <row r="117" spans="1:12" ht="34" x14ac:dyDescent="0.2">
      <c r="A117" s="2" t="s">
        <v>12</v>
      </c>
      <c r="B117" s="4" t="s">
        <v>13</v>
      </c>
      <c r="C117" s="4">
        <v>2023</v>
      </c>
      <c r="D117" s="4">
        <v>8</v>
      </c>
      <c r="E117" s="2" t="s">
        <v>25</v>
      </c>
      <c r="F117" s="4" t="s">
        <v>26</v>
      </c>
      <c r="G117" s="7" t="s">
        <v>27</v>
      </c>
      <c r="H117" s="4">
        <v>52</v>
      </c>
      <c r="I117" s="4">
        <v>12</v>
      </c>
      <c r="J117" s="4">
        <v>35136</v>
      </c>
      <c r="K117" s="2">
        <v>1497936</v>
      </c>
      <c r="L117" s="2">
        <v>1.5329999999999999</v>
      </c>
    </row>
    <row r="118" spans="1:12" ht="34" x14ac:dyDescent="0.2">
      <c r="A118" s="2" t="s">
        <v>12</v>
      </c>
      <c r="B118" s="4" t="s">
        <v>13</v>
      </c>
      <c r="C118" s="4">
        <v>2023</v>
      </c>
      <c r="D118" s="4">
        <v>8</v>
      </c>
      <c r="E118" s="2" t="s">
        <v>17</v>
      </c>
      <c r="F118" s="4" t="s">
        <v>18</v>
      </c>
      <c r="G118" s="7" t="s">
        <v>19</v>
      </c>
      <c r="H118" s="4">
        <v>70</v>
      </c>
      <c r="I118" s="4">
        <v>0</v>
      </c>
      <c r="J118" s="4">
        <v>38473</v>
      </c>
      <c r="K118" s="2">
        <v>0</v>
      </c>
      <c r="L118" s="2">
        <v>3.7999999999999999E-2</v>
      </c>
    </row>
    <row r="119" spans="1:12" ht="17" x14ac:dyDescent="0.2">
      <c r="A119" s="2" t="s">
        <v>12</v>
      </c>
      <c r="B119" s="4" t="s">
        <v>13</v>
      </c>
      <c r="C119" s="4">
        <v>2023</v>
      </c>
      <c r="D119" s="4">
        <v>8</v>
      </c>
      <c r="E119" s="2" t="s">
        <v>28</v>
      </c>
      <c r="F119" s="4" t="s">
        <v>29</v>
      </c>
      <c r="G119" s="7" t="s">
        <v>30</v>
      </c>
      <c r="H119" s="4">
        <v>639</v>
      </c>
      <c r="I119" s="4">
        <v>3</v>
      </c>
      <c r="J119" s="4">
        <v>2610000</v>
      </c>
      <c r="K119" s="2">
        <v>1580000</v>
      </c>
      <c r="L119" s="2">
        <v>4.1900000000000004</v>
      </c>
    </row>
    <row r="120" spans="1:12" ht="51" x14ac:dyDescent="0.2">
      <c r="A120" s="2" t="s">
        <v>12</v>
      </c>
      <c r="B120" s="4" t="s">
        <v>13</v>
      </c>
      <c r="C120" s="4">
        <v>2023</v>
      </c>
      <c r="D120" s="4">
        <v>8</v>
      </c>
      <c r="E120" s="2" t="s">
        <v>31</v>
      </c>
      <c r="F120" s="4" t="s">
        <v>32</v>
      </c>
      <c r="G120" s="7" t="s">
        <v>33</v>
      </c>
      <c r="H120" s="4">
        <v>92</v>
      </c>
      <c r="I120" s="4">
        <v>1</v>
      </c>
      <c r="J120" s="4">
        <v>21720</v>
      </c>
      <c r="K120" s="2">
        <v>181266</v>
      </c>
      <c r="L120" s="2">
        <v>0.20300000000000001</v>
      </c>
    </row>
    <row r="121" spans="1:12" ht="17" x14ac:dyDescent="0.2">
      <c r="A121" s="2" t="s">
        <v>12</v>
      </c>
      <c r="B121" s="4" t="s">
        <v>13</v>
      </c>
      <c r="C121" s="4">
        <v>2023</v>
      </c>
      <c r="D121" s="4">
        <v>8</v>
      </c>
      <c r="E121" s="2" t="s">
        <v>34</v>
      </c>
      <c r="F121" s="4" t="s">
        <v>26</v>
      </c>
      <c r="G121" s="7" t="s">
        <v>35</v>
      </c>
      <c r="H121" s="4">
        <v>25</v>
      </c>
      <c r="I121" s="4">
        <v>3</v>
      </c>
      <c r="J121" s="4">
        <v>24269</v>
      </c>
      <c r="K121" s="2">
        <v>313184</v>
      </c>
      <c r="L121" s="2">
        <v>0.33700000000000002</v>
      </c>
    </row>
    <row r="122" spans="1:12" ht="17" x14ac:dyDescent="0.2">
      <c r="A122" s="2" t="s">
        <v>12</v>
      </c>
      <c r="B122" s="4" t="s">
        <v>13</v>
      </c>
      <c r="C122" s="4">
        <v>2023</v>
      </c>
      <c r="D122" s="4">
        <v>8</v>
      </c>
      <c r="E122" s="2" t="s">
        <v>36</v>
      </c>
      <c r="F122" s="4" t="s">
        <v>15</v>
      </c>
      <c r="G122" s="7" t="s">
        <v>37</v>
      </c>
      <c r="H122" s="4">
        <v>67</v>
      </c>
      <c r="I122" s="4">
        <v>2</v>
      </c>
      <c r="J122" s="4">
        <v>19805</v>
      </c>
      <c r="K122" s="2">
        <v>100752</v>
      </c>
      <c r="L122" s="2">
        <v>0.121</v>
      </c>
    </row>
    <row r="123" spans="1:12" ht="34" x14ac:dyDescent="0.2">
      <c r="A123" s="2" t="s">
        <v>12</v>
      </c>
      <c r="B123" s="4" t="s">
        <v>13</v>
      </c>
      <c r="C123" s="4">
        <v>2023</v>
      </c>
      <c r="D123" s="4">
        <v>8</v>
      </c>
      <c r="E123" s="2" t="s">
        <v>17</v>
      </c>
      <c r="F123" s="4" t="s">
        <v>18</v>
      </c>
      <c r="G123" s="7" t="s">
        <v>19</v>
      </c>
      <c r="H123" s="4">
        <v>70</v>
      </c>
      <c r="I123" s="4">
        <v>0</v>
      </c>
      <c r="J123" s="4">
        <v>38473</v>
      </c>
      <c r="K123" s="2">
        <v>0</v>
      </c>
      <c r="L123" s="2">
        <v>3.7999999999999999E-2</v>
      </c>
    </row>
    <row r="124" spans="1:12" ht="17" x14ac:dyDescent="0.2">
      <c r="A124" s="2" t="s">
        <v>12</v>
      </c>
      <c r="B124" s="4" t="s">
        <v>13</v>
      </c>
      <c r="C124" s="4">
        <v>2023</v>
      </c>
      <c r="D124" s="4">
        <v>8</v>
      </c>
      <c r="E124" s="2" t="s">
        <v>39</v>
      </c>
      <c r="F124" s="4" t="s">
        <v>40</v>
      </c>
      <c r="G124" s="7" t="s">
        <v>41</v>
      </c>
      <c r="H124" s="4">
        <v>123</v>
      </c>
      <c r="I124" s="4">
        <v>0</v>
      </c>
      <c r="J124" s="4">
        <v>593509</v>
      </c>
      <c r="K124" s="2">
        <v>0</v>
      </c>
      <c r="L124" s="2">
        <v>0.59399999999999997</v>
      </c>
    </row>
    <row r="125" spans="1:12" ht="17" x14ac:dyDescent="0.2">
      <c r="A125" s="2" t="s">
        <v>12</v>
      </c>
      <c r="B125" s="4" t="s">
        <v>13</v>
      </c>
      <c r="C125" s="4">
        <v>2023</v>
      </c>
      <c r="D125" s="4">
        <v>8</v>
      </c>
      <c r="E125" s="2" t="s">
        <v>42</v>
      </c>
      <c r="F125" s="4" t="s">
        <v>43</v>
      </c>
      <c r="G125" s="7" t="s">
        <v>44</v>
      </c>
      <c r="H125" s="4">
        <v>17</v>
      </c>
      <c r="I125" s="4">
        <v>0</v>
      </c>
      <c r="J125" s="4">
        <v>3335</v>
      </c>
      <c r="K125" s="2">
        <v>0</v>
      </c>
      <c r="L125" s="2">
        <v>3.0000000000000001E-3</v>
      </c>
    </row>
    <row r="126" spans="1:12" ht="17" x14ac:dyDescent="0.2">
      <c r="A126" s="2" t="s">
        <v>12</v>
      </c>
      <c r="B126" s="4" t="s">
        <v>13</v>
      </c>
      <c r="C126" s="4">
        <v>2023</v>
      </c>
      <c r="D126" s="4">
        <v>8</v>
      </c>
      <c r="E126" s="2" t="s">
        <v>54</v>
      </c>
      <c r="F126" s="4" t="s">
        <v>55</v>
      </c>
      <c r="G126" s="7" t="s">
        <v>56</v>
      </c>
      <c r="H126" s="4">
        <v>99</v>
      </c>
      <c r="I126" s="4">
        <v>9</v>
      </c>
      <c r="J126" s="4">
        <v>221296</v>
      </c>
      <c r="K126" s="2">
        <v>19714</v>
      </c>
      <c r="L126" s="2">
        <v>0.24099999999999999</v>
      </c>
    </row>
    <row r="127" spans="1:12" ht="17" x14ac:dyDescent="0.2">
      <c r="A127" s="2" t="s">
        <v>12</v>
      </c>
      <c r="B127" s="4" t="s">
        <v>13</v>
      </c>
      <c r="C127" s="4">
        <v>2023</v>
      </c>
      <c r="D127" s="4">
        <v>8</v>
      </c>
      <c r="E127" s="2" t="s">
        <v>28</v>
      </c>
      <c r="F127" s="4" t="s">
        <v>29</v>
      </c>
      <c r="G127" s="7" t="s">
        <v>30</v>
      </c>
      <c r="H127" s="4">
        <v>639</v>
      </c>
      <c r="I127" s="4">
        <v>3</v>
      </c>
      <c r="J127" s="4">
        <v>2610000</v>
      </c>
      <c r="K127" s="2">
        <v>1580000</v>
      </c>
      <c r="L127" s="2">
        <v>4.1900000000000004</v>
      </c>
    </row>
    <row r="128" spans="1:12" ht="17" x14ac:dyDescent="0.2">
      <c r="A128" s="2" t="s">
        <v>12</v>
      </c>
      <c r="B128" s="4" t="s">
        <v>13</v>
      </c>
      <c r="C128" s="4">
        <v>2023</v>
      </c>
      <c r="D128" s="4">
        <v>8</v>
      </c>
      <c r="E128" s="2" t="s">
        <v>73</v>
      </c>
      <c r="F128" s="4" t="s">
        <v>29</v>
      </c>
      <c r="G128" s="7" t="s">
        <v>30</v>
      </c>
      <c r="H128" s="4">
        <v>1846</v>
      </c>
      <c r="I128" s="4">
        <v>3</v>
      </c>
      <c r="J128" s="4">
        <v>5237277</v>
      </c>
      <c r="K128" s="2">
        <v>2914680</v>
      </c>
      <c r="L128" s="2">
        <v>8.1519999999999992</v>
      </c>
    </row>
    <row r="129" spans="1:12" ht="17" x14ac:dyDescent="0.2">
      <c r="A129" s="2" t="s">
        <v>12</v>
      </c>
      <c r="B129" s="4" t="s">
        <v>13</v>
      </c>
      <c r="C129" s="4">
        <v>2023</v>
      </c>
      <c r="D129" s="4">
        <v>8</v>
      </c>
      <c r="E129" s="2" t="s">
        <v>60</v>
      </c>
      <c r="F129" s="4" t="s">
        <v>29</v>
      </c>
      <c r="G129" s="7" t="s">
        <v>30</v>
      </c>
      <c r="H129" s="4">
        <v>1200</v>
      </c>
      <c r="I129" s="4">
        <v>2</v>
      </c>
      <c r="J129" s="4">
        <v>2698760</v>
      </c>
      <c r="K129" s="2">
        <v>996120</v>
      </c>
      <c r="L129" s="2">
        <v>3.6949999999999998</v>
      </c>
    </row>
    <row r="130" spans="1:12" ht="17" x14ac:dyDescent="0.2">
      <c r="A130" s="2" t="s">
        <v>12</v>
      </c>
      <c r="B130" s="4" t="s">
        <v>13</v>
      </c>
      <c r="C130" s="4">
        <v>2023</v>
      </c>
      <c r="D130" s="4">
        <v>8</v>
      </c>
      <c r="E130" s="2" t="s">
        <v>90</v>
      </c>
      <c r="F130" s="4" t="s">
        <v>85</v>
      </c>
      <c r="G130" s="7" t="s">
        <v>91</v>
      </c>
      <c r="H130" s="4">
        <v>172</v>
      </c>
      <c r="I130" s="4">
        <v>11</v>
      </c>
      <c r="J130" s="4">
        <v>430496</v>
      </c>
      <c r="K130" s="2">
        <v>83625</v>
      </c>
      <c r="L130" s="2">
        <v>0.51400000000000001</v>
      </c>
    </row>
    <row r="131" spans="1:12" ht="17" x14ac:dyDescent="0.2">
      <c r="A131" s="2" t="s">
        <v>12</v>
      </c>
      <c r="B131" s="4" t="s">
        <v>13</v>
      </c>
      <c r="C131" s="4">
        <v>2023</v>
      </c>
      <c r="D131" s="4">
        <v>8</v>
      </c>
      <c r="E131" s="2" t="s">
        <v>84</v>
      </c>
      <c r="F131" s="4" t="s">
        <v>85</v>
      </c>
      <c r="G131" s="7" t="s">
        <v>86</v>
      </c>
      <c r="I131" s="4">
        <v>11</v>
      </c>
      <c r="J131" s="4">
        <v>430496</v>
      </c>
      <c r="K131" s="2">
        <v>83625</v>
      </c>
      <c r="L131" s="2">
        <v>0.51412100000000005</v>
      </c>
    </row>
    <row r="132" spans="1:12" ht="17" x14ac:dyDescent="0.2">
      <c r="A132" s="2" t="s">
        <v>12</v>
      </c>
      <c r="B132" s="4" t="s">
        <v>13</v>
      </c>
      <c r="C132" s="4">
        <v>2023</v>
      </c>
      <c r="D132" s="4">
        <v>8</v>
      </c>
      <c r="E132" s="2" t="s">
        <v>87</v>
      </c>
      <c r="F132" s="4" t="s">
        <v>85</v>
      </c>
      <c r="G132" s="7" t="s">
        <v>88</v>
      </c>
      <c r="H132" s="4">
        <v>34</v>
      </c>
      <c r="I132" s="4">
        <v>0</v>
      </c>
      <c r="J132" s="4">
        <v>17127</v>
      </c>
      <c r="K132" s="2">
        <v>0</v>
      </c>
      <c r="L132" s="2">
        <v>1.7000000000000001E-2</v>
      </c>
    </row>
    <row r="133" spans="1:12" ht="17" x14ac:dyDescent="0.2">
      <c r="A133" s="2" t="s">
        <v>12</v>
      </c>
      <c r="B133" s="4" t="s">
        <v>13</v>
      </c>
      <c r="C133" s="4">
        <v>2023</v>
      </c>
      <c r="D133" s="4">
        <v>8</v>
      </c>
      <c r="E133" s="2" t="s">
        <v>74</v>
      </c>
      <c r="F133" s="4" t="s">
        <v>75</v>
      </c>
      <c r="G133" s="7" t="s">
        <v>89</v>
      </c>
      <c r="H133" s="4">
        <v>15</v>
      </c>
      <c r="I133" s="4">
        <v>0</v>
      </c>
      <c r="J133" s="4">
        <v>15344</v>
      </c>
      <c r="K133" s="2">
        <v>0</v>
      </c>
      <c r="L133" s="2">
        <v>1.4999999999999999E-2</v>
      </c>
    </row>
    <row r="134" spans="1:12" ht="17" x14ac:dyDescent="0.2">
      <c r="A134" s="2" t="s">
        <v>12</v>
      </c>
      <c r="B134" s="4" t="s">
        <v>13</v>
      </c>
      <c r="C134" s="4">
        <v>2023</v>
      </c>
      <c r="D134" s="4">
        <v>8</v>
      </c>
      <c r="E134" s="2" t="s">
        <v>92</v>
      </c>
      <c r="F134" s="4" t="s">
        <v>75</v>
      </c>
      <c r="G134" s="7" t="s">
        <v>93</v>
      </c>
      <c r="H134" s="4">
        <v>64</v>
      </c>
      <c r="I134" s="4">
        <v>0</v>
      </c>
      <c r="J134" s="4">
        <v>1058482</v>
      </c>
      <c r="K134" s="2">
        <v>0</v>
      </c>
      <c r="L134" s="2">
        <v>1.0580000000000001</v>
      </c>
    </row>
    <row r="135" spans="1:12" ht="17" x14ac:dyDescent="0.2">
      <c r="A135" s="2" t="s">
        <v>12</v>
      </c>
      <c r="B135" s="4" t="s">
        <v>13</v>
      </c>
      <c r="C135" s="4">
        <v>2023</v>
      </c>
      <c r="D135" s="4">
        <v>8</v>
      </c>
      <c r="F135" s="4" t="s">
        <v>94</v>
      </c>
      <c r="G135" s="7" t="s">
        <v>95</v>
      </c>
      <c r="H135" s="4">
        <v>21</v>
      </c>
      <c r="I135" s="4">
        <v>6</v>
      </c>
      <c r="J135" s="4">
        <v>26836</v>
      </c>
      <c r="K135" s="2">
        <v>606530</v>
      </c>
      <c r="L135" s="2">
        <v>0.63300000000000001</v>
      </c>
    </row>
    <row r="136" spans="1:12" ht="17" x14ac:dyDescent="0.2">
      <c r="A136" s="2" t="s">
        <v>12</v>
      </c>
      <c r="B136" s="4" t="s">
        <v>13</v>
      </c>
      <c r="C136" s="4">
        <v>2023</v>
      </c>
      <c r="D136" s="4">
        <v>8</v>
      </c>
      <c r="E136" s="2" t="s">
        <v>66</v>
      </c>
      <c r="F136" s="4" t="s">
        <v>58</v>
      </c>
      <c r="G136" s="7" t="s">
        <v>67</v>
      </c>
      <c r="H136" s="4">
        <v>2782</v>
      </c>
      <c r="I136" s="4">
        <v>17</v>
      </c>
      <c r="J136" s="4">
        <v>652263</v>
      </c>
      <c r="K136" s="2">
        <v>7178071</v>
      </c>
      <c r="L136" s="2">
        <v>7.83</v>
      </c>
    </row>
    <row r="137" spans="1:12" ht="17" x14ac:dyDescent="0.2">
      <c r="A137" s="2" t="s">
        <v>12</v>
      </c>
      <c r="B137" s="4" t="s">
        <v>13</v>
      </c>
      <c r="C137" s="4">
        <v>2023</v>
      </c>
      <c r="D137" s="4">
        <v>8</v>
      </c>
      <c r="E137" s="2" t="s">
        <v>57</v>
      </c>
      <c r="F137" s="4" t="s">
        <v>58</v>
      </c>
      <c r="G137" s="7" t="s">
        <v>59</v>
      </c>
      <c r="H137" s="4">
        <v>46</v>
      </c>
      <c r="I137" s="4">
        <v>34</v>
      </c>
      <c r="J137" s="4">
        <v>223432</v>
      </c>
      <c r="K137" s="2">
        <v>1843499</v>
      </c>
      <c r="L137" s="2">
        <v>2.0670000000000002</v>
      </c>
    </row>
    <row r="138" spans="1:12" ht="34" x14ac:dyDescent="0.2">
      <c r="A138" s="2" t="s">
        <v>12</v>
      </c>
      <c r="B138" s="4" t="s">
        <v>13</v>
      </c>
      <c r="C138" s="4">
        <v>2023</v>
      </c>
      <c r="D138" s="4">
        <v>8</v>
      </c>
      <c r="E138" s="2" t="s">
        <v>61</v>
      </c>
      <c r="F138" s="4" t="s">
        <v>26</v>
      </c>
      <c r="G138" s="7" t="s">
        <v>97</v>
      </c>
      <c r="H138" s="4">
        <v>27</v>
      </c>
      <c r="I138" s="4">
        <v>0</v>
      </c>
      <c r="J138" s="4">
        <v>14916</v>
      </c>
      <c r="K138" s="2">
        <v>0</v>
      </c>
      <c r="L138" s="2">
        <v>1.4999999999999999E-2</v>
      </c>
    </row>
    <row r="139" spans="1:12" ht="17" x14ac:dyDescent="0.2">
      <c r="A139" s="2" t="s">
        <v>12</v>
      </c>
      <c r="B139" s="4" t="s">
        <v>13</v>
      </c>
      <c r="C139" s="4">
        <v>2023</v>
      </c>
      <c r="D139" s="4">
        <v>8</v>
      </c>
      <c r="E139" s="2" t="s">
        <v>34</v>
      </c>
      <c r="F139" s="4" t="s">
        <v>26</v>
      </c>
      <c r="G139" s="7" t="s">
        <v>35</v>
      </c>
      <c r="H139" s="4">
        <v>25</v>
      </c>
      <c r="I139" s="4">
        <v>3</v>
      </c>
      <c r="J139" s="4">
        <v>24269</v>
      </c>
      <c r="K139" s="2">
        <v>313184</v>
      </c>
      <c r="L139" s="2">
        <v>0.33700000000000002</v>
      </c>
    </row>
    <row r="140" spans="1:12" ht="17" x14ac:dyDescent="0.2">
      <c r="A140" s="2" t="s">
        <v>12</v>
      </c>
      <c r="B140" s="4" t="s">
        <v>13</v>
      </c>
      <c r="C140" s="4">
        <v>2023</v>
      </c>
      <c r="D140" s="4">
        <v>8</v>
      </c>
      <c r="E140" s="2" t="s">
        <v>63</v>
      </c>
      <c r="F140" s="4" t="s">
        <v>26</v>
      </c>
      <c r="G140" s="7" t="s">
        <v>64</v>
      </c>
      <c r="H140" s="4">
        <v>27</v>
      </c>
      <c r="I140" s="4">
        <v>7</v>
      </c>
      <c r="J140" s="4">
        <v>13101</v>
      </c>
      <c r="K140" s="2">
        <v>1764649</v>
      </c>
      <c r="L140" s="2">
        <v>1.778</v>
      </c>
    </row>
    <row r="141" spans="1:12" ht="17" x14ac:dyDescent="0.2">
      <c r="A141" s="2" t="s">
        <v>12</v>
      </c>
      <c r="B141" s="4" t="s">
        <v>13</v>
      </c>
      <c r="C141" s="4">
        <v>2023</v>
      </c>
      <c r="D141" s="4">
        <v>8</v>
      </c>
      <c r="E141" s="2" t="s">
        <v>77</v>
      </c>
      <c r="F141" s="4" t="s">
        <v>15</v>
      </c>
      <c r="G141" s="7" t="s">
        <v>78</v>
      </c>
      <c r="H141" s="4">
        <v>21</v>
      </c>
      <c r="I141" s="4">
        <v>3</v>
      </c>
      <c r="J141" s="4">
        <v>10112</v>
      </c>
      <c r="K141" s="2">
        <v>197518</v>
      </c>
      <c r="L141" s="2">
        <v>0.20799999999999999</v>
      </c>
    </row>
    <row r="142" spans="1:12" ht="17" x14ac:dyDescent="0.2">
      <c r="A142" s="2" t="s">
        <v>12</v>
      </c>
      <c r="B142" s="4" t="s">
        <v>13</v>
      </c>
      <c r="C142" s="4">
        <v>2023</v>
      </c>
      <c r="D142" s="4">
        <v>8</v>
      </c>
      <c r="E142" s="2" t="s">
        <v>36</v>
      </c>
      <c r="F142" s="4" t="s">
        <v>15</v>
      </c>
      <c r="G142" s="7" t="s">
        <v>37</v>
      </c>
      <c r="H142" s="4">
        <v>67</v>
      </c>
      <c r="I142" s="4">
        <v>2</v>
      </c>
      <c r="J142" s="4">
        <v>19805</v>
      </c>
      <c r="K142" s="2">
        <v>100752</v>
      </c>
      <c r="L142" s="2">
        <v>0.121</v>
      </c>
    </row>
    <row r="143" spans="1:12" ht="17" x14ac:dyDescent="0.2">
      <c r="A143" s="2" t="s">
        <v>12</v>
      </c>
      <c r="B143" s="4" t="s">
        <v>13</v>
      </c>
      <c r="C143" s="4">
        <v>2023</v>
      </c>
      <c r="D143" s="4">
        <v>8</v>
      </c>
      <c r="E143" s="2" t="s">
        <v>23</v>
      </c>
      <c r="F143" s="4" t="s">
        <v>15</v>
      </c>
      <c r="G143" s="7" t="s">
        <v>24</v>
      </c>
      <c r="H143" s="4">
        <v>1</v>
      </c>
      <c r="I143" s="4">
        <v>0</v>
      </c>
      <c r="J143" s="4">
        <v>1619</v>
      </c>
      <c r="K143" s="2">
        <v>0</v>
      </c>
      <c r="L143" s="2">
        <v>2E-3</v>
      </c>
    </row>
    <row r="144" spans="1:12" ht="17" x14ac:dyDescent="0.2">
      <c r="A144" s="2" t="s">
        <v>12</v>
      </c>
      <c r="B144" s="4" t="s">
        <v>13</v>
      </c>
      <c r="C144" s="4">
        <v>2023</v>
      </c>
      <c r="D144" s="4">
        <v>8</v>
      </c>
      <c r="E144" s="2" t="s">
        <v>98</v>
      </c>
      <c r="F144" s="4" t="s">
        <v>15</v>
      </c>
      <c r="G144" s="7" t="s">
        <v>99</v>
      </c>
      <c r="H144" s="4">
        <v>288</v>
      </c>
      <c r="I144" s="4">
        <v>0</v>
      </c>
      <c r="J144" s="4">
        <v>235992</v>
      </c>
      <c r="K144" s="2">
        <v>0</v>
      </c>
      <c r="L144" s="2">
        <v>0.23599999999999999</v>
      </c>
    </row>
    <row r="145" spans="1:12" ht="34" x14ac:dyDescent="0.2">
      <c r="A145" s="2" t="s">
        <v>12</v>
      </c>
      <c r="B145" s="4" t="s">
        <v>13</v>
      </c>
      <c r="C145" s="4">
        <v>2023</v>
      </c>
      <c r="D145" s="4">
        <v>8</v>
      </c>
      <c r="E145" s="2" t="s">
        <v>17</v>
      </c>
      <c r="F145" s="4" t="s">
        <v>18</v>
      </c>
      <c r="G145" s="7" t="s">
        <v>19</v>
      </c>
      <c r="H145" s="4">
        <v>70</v>
      </c>
      <c r="I145" s="4">
        <v>0</v>
      </c>
      <c r="J145" s="4">
        <v>38473</v>
      </c>
      <c r="K145" s="2">
        <v>0</v>
      </c>
      <c r="L145" s="2">
        <v>3.7999999999999999E-2</v>
      </c>
    </row>
    <row r="146" spans="1:12" ht="17" x14ac:dyDescent="0.2">
      <c r="A146" s="2" t="s">
        <v>12</v>
      </c>
      <c r="B146" s="4" t="s">
        <v>13</v>
      </c>
      <c r="C146" s="4">
        <v>2023</v>
      </c>
      <c r="D146" s="4">
        <v>8</v>
      </c>
      <c r="E146" s="2" t="s">
        <v>68</v>
      </c>
      <c r="F146" s="4" t="s">
        <v>18</v>
      </c>
      <c r="G146" s="7" t="s">
        <v>69</v>
      </c>
      <c r="H146" s="4">
        <v>30</v>
      </c>
      <c r="I146" s="4">
        <v>8</v>
      </c>
      <c r="J146" s="4">
        <v>11272</v>
      </c>
      <c r="K146" s="2">
        <v>976561</v>
      </c>
      <c r="L146" s="2">
        <v>0.98799999999999999</v>
      </c>
    </row>
    <row r="147" spans="1:12" ht="17" x14ac:dyDescent="0.2">
      <c r="A147" s="2" t="s">
        <v>12</v>
      </c>
      <c r="B147" s="4" t="s">
        <v>13</v>
      </c>
      <c r="C147" s="4">
        <v>2023</v>
      </c>
      <c r="D147" s="4">
        <v>8</v>
      </c>
      <c r="E147" s="2" t="s">
        <v>79</v>
      </c>
      <c r="F147" s="4" t="s">
        <v>71</v>
      </c>
      <c r="G147" s="7" t="s">
        <v>80</v>
      </c>
      <c r="H147" s="4">
        <v>106</v>
      </c>
      <c r="I147" s="4">
        <v>9</v>
      </c>
      <c r="J147" s="4">
        <v>90000</v>
      </c>
      <c r="K147" s="2">
        <v>320000</v>
      </c>
      <c r="L147" s="2">
        <v>0.41</v>
      </c>
    </row>
    <row r="148" spans="1:12" ht="34" x14ac:dyDescent="0.2">
      <c r="A148" s="2" t="s">
        <v>12</v>
      </c>
      <c r="B148" s="4" t="s">
        <v>13</v>
      </c>
      <c r="C148" s="4">
        <v>2023</v>
      </c>
      <c r="D148" s="4">
        <v>8</v>
      </c>
      <c r="E148" s="2" t="s">
        <v>70</v>
      </c>
      <c r="F148" s="4" t="s">
        <v>71</v>
      </c>
      <c r="G148" s="7" t="s">
        <v>72</v>
      </c>
      <c r="H148" s="4">
        <v>33</v>
      </c>
      <c r="I148" s="4">
        <v>0</v>
      </c>
      <c r="J148" s="4">
        <v>8714</v>
      </c>
      <c r="K148" s="2">
        <v>0</v>
      </c>
      <c r="L148" s="2">
        <v>8.9999999999999993E-3</v>
      </c>
    </row>
    <row r="149" spans="1:12" ht="17" x14ac:dyDescent="0.2">
      <c r="A149" s="2" t="s">
        <v>12</v>
      </c>
      <c r="B149" s="4" t="s">
        <v>65</v>
      </c>
      <c r="C149" s="4">
        <v>2022</v>
      </c>
      <c r="D149" s="4">
        <v>12</v>
      </c>
      <c r="E149" s="2" t="s">
        <v>38</v>
      </c>
      <c r="F149" s="4" t="s">
        <v>21</v>
      </c>
      <c r="G149" s="7" t="s">
        <v>22</v>
      </c>
      <c r="H149" s="4">
        <v>43</v>
      </c>
      <c r="I149" s="4">
        <v>0</v>
      </c>
      <c r="J149" s="4">
        <v>2042</v>
      </c>
      <c r="K149" s="2">
        <v>0</v>
      </c>
      <c r="L149" s="2">
        <v>2E-3</v>
      </c>
    </row>
    <row r="150" spans="1:12" ht="17" x14ac:dyDescent="0.2">
      <c r="A150" s="2" t="s">
        <v>12</v>
      </c>
      <c r="B150" s="4" t="s">
        <v>65</v>
      </c>
      <c r="C150" s="4">
        <v>2022</v>
      </c>
      <c r="D150" s="4">
        <v>12</v>
      </c>
      <c r="E150" s="2" t="s">
        <v>28</v>
      </c>
      <c r="F150" s="4" t="s">
        <v>29</v>
      </c>
      <c r="G150" s="7" t="s">
        <v>30</v>
      </c>
      <c r="H150" s="4">
        <v>590</v>
      </c>
      <c r="I150" s="4">
        <v>2</v>
      </c>
      <c r="J150" s="4">
        <v>2810000</v>
      </c>
      <c r="K150" s="2">
        <v>930000</v>
      </c>
      <c r="L150" s="2">
        <v>3.74</v>
      </c>
    </row>
    <row r="151" spans="1:12" ht="17" x14ac:dyDescent="0.2">
      <c r="A151" s="2" t="s">
        <v>12</v>
      </c>
      <c r="B151" s="4" t="s">
        <v>65</v>
      </c>
      <c r="C151" s="4">
        <v>2022</v>
      </c>
      <c r="D151" s="4">
        <v>12</v>
      </c>
      <c r="E151" s="2" t="s">
        <v>81</v>
      </c>
      <c r="F151" s="4" t="s">
        <v>82</v>
      </c>
      <c r="G151" s="7" t="s">
        <v>83</v>
      </c>
      <c r="H151" s="4">
        <v>1</v>
      </c>
      <c r="I151" s="4">
        <v>0</v>
      </c>
      <c r="J151" s="4">
        <v>1643</v>
      </c>
      <c r="K151" s="2">
        <v>0</v>
      </c>
      <c r="L151" s="2">
        <v>2E-3</v>
      </c>
    </row>
    <row r="152" spans="1:12" ht="17" x14ac:dyDescent="0.2">
      <c r="A152" s="2" t="s">
        <v>12</v>
      </c>
      <c r="B152" s="4" t="s">
        <v>65</v>
      </c>
      <c r="C152" s="4">
        <v>2022</v>
      </c>
      <c r="D152" s="4">
        <v>12</v>
      </c>
      <c r="E152" s="2" t="s">
        <v>68</v>
      </c>
      <c r="F152" s="4" t="s">
        <v>18</v>
      </c>
      <c r="G152" s="7" t="s">
        <v>69</v>
      </c>
      <c r="H152" s="4">
        <v>23</v>
      </c>
      <c r="I152" s="4">
        <v>7</v>
      </c>
      <c r="J152" s="4">
        <v>3374</v>
      </c>
      <c r="K152" s="2">
        <v>100200</v>
      </c>
      <c r="L152" s="2">
        <v>0.104</v>
      </c>
    </row>
    <row r="153" spans="1:12" ht="17" x14ac:dyDescent="0.2">
      <c r="A153" s="2" t="s">
        <v>12</v>
      </c>
      <c r="B153" s="4" t="s">
        <v>65</v>
      </c>
      <c r="C153" s="4">
        <v>2022</v>
      </c>
      <c r="D153" s="4">
        <v>12</v>
      </c>
      <c r="E153" s="2" t="s">
        <v>66</v>
      </c>
      <c r="F153" s="4" t="s">
        <v>58</v>
      </c>
      <c r="G153" s="7" t="s">
        <v>67</v>
      </c>
      <c r="H153" s="4">
        <v>2583</v>
      </c>
      <c r="I153" s="4">
        <v>13</v>
      </c>
      <c r="J153" s="4">
        <v>173818</v>
      </c>
      <c r="K153" s="2">
        <v>6071647</v>
      </c>
      <c r="L153" s="2">
        <v>6.2450000000000001</v>
      </c>
    </row>
    <row r="154" spans="1:12" ht="17" x14ac:dyDescent="0.2">
      <c r="A154" s="2" t="s">
        <v>12</v>
      </c>
      <c r="B154" s="4" t="s">
        <v>65</v>
      </c>
      <c r="C154" s="4">
        <v>2022</v>
      </c>
      <c r="D154" s="4">
        <v>12</v>
      </c>
      <c r="E154" s="2" t="s">
        <v>60</v>
      </c>
      <c r="F154" s="4" t="s">
        <v>29</v>
      </c>
      <c r="G154" s="7" t="s">
        <v>30</v>
      </c>
      <c r="H154" s="4">
        <v>991</v>
      </c>
      <c r="I154" s="4">
        <v>2</v>
      </c>
      <c r="J154" s="4">
        <v>2059982</v>
      </c>
      <c r="K154" s="2">
        <v>498330</v>
      </c>
      <c r="L154" s="2">
        <v>2.5579999999999998</v>
      </c>
    </row>
    <row r="155" spans="1:12" ht="17" x14ac:dyDescent="0.2">
      <c r="A155" s="2" t="s">
        <v>12</v>
      </c>
      <c r="B155" s="4" t="s">
        <v>65</v>
      </c>
      <c r="C155" s="4">
        <v>2022</v>
      </c>
      <c r="D155" s="4">
        <v>12</v>
      </c>
      <c r="E155" s="2" t="s">
        <v>45</v>
      </c>
      <c r="F155" s="4" t="s">
        <v>46</v>
      </c>
      <c r="G155" s="7" t="s">
        <v>47</v>
      </c>
      <c r="H155" s="4">
        <v>117</v>
      </c>
      <c r="I155" s="4">
        <v>4</v>
      </c>
      <c r="J155" s="4">
        <v>42403</v>
      </c>
      <c r="K155" s="2">
        <v>41428</v>
      </c>
      <c r="L155" s="2">
        <v>8.4000000000000005E-2</v>
      </c>
    </row>
    <row r="156" spans="1:12" ht="34" x14ac:dyDescent="0.2">
      <c r="A156" s="2" t="s">
        <v>12</v>
      </c>
      <c r="B156" s="4" t="s">
        <v>65</v>
      </c>
      <c r="C156" s="4">
        <v>2022</v>
      </c>
      <c r="D156" s="4">
        <v>12</v>
      </c>
      <c r="E156" s="2" t="s">
        <v>70</v>
      </c>
      <c r="F156" s="4" t="s">
        <v>71</v>
      </c>
      <c r="G156" s="7" t="s">
        <v>72</v>
      </c>
      <c r="H156" s="4">
        <v>20</v>
      </c>
      <c r="I156" s="4">
        <v>0</v>
      </c>
      <c r="J156" s="4">
        <v>3329</v>
      </c>
      <c r="K156" s="2">
        <v>0</v>
      </c>
      <c r="L156" s="2">
        <v>3.0000000000000001E-3</v>
      </c>
    </row>
    <row r="157" spans="1:12" ht="17" x14ac:dyDescent="0.2">
      <c r="A157" s="2" t="s">
        <v>12</v>
      </c>
      <c r="B157" s="4" t="s">
        <v>65</v>
      </c>
      <c r="C157" s="4">
        <v>2022</v>
      </c>
      <c r="D157" s="4">
        <v>12</v>
      </c>
      <c r="E157" s="2" t="s">
        <v>34</v>
      </c>
      <c r="F157" s="4" t="s">
        <v>26</v>
      </c>
      <c r="G157" s="7" t="s">
        <v>35</v>
      </c>
      <c r="H157" s="4">
        <v>11</v>
      </c>
      <c r="I157" s="4">
        <v>3</v>
      </c>
      <c r="J157" s="4">
        <v>20125</v>
      </c>
      <c r="K157" s="2">
        <v>267965</v>
      </c>
      <c r="L157" s="2">
        <v>0.28799999999999998</v>
      </c>
    </row>
    <row r="158" spans="1:12" ht="17" x14ac:dyDescent="0.2">
      <c r="A158" s="2" t="s">
        <v>12</v>
      </c>
      <c r="B158" s="4" t="s">
        <v>65</v>
      </c>
      <c r="C158" s="4">
        <v>2022</v>
      </c>
      <c r="D158" s="4">
        <v>12</v>
      </c>
      <c r="E158" s="2" t="s">
        <v>57</v>
      </c>
      <c r="F158" s="4" t="s">
        <v>58</v>
      </c>
      <c r="G158" s="7" t="s">
        <v>59</v>
      </c>
      <c r="H158" s="4">
        <v>14</v>
      </c>
      <c r="I158" s="4">
        <v>10</v>
      </c>
      <c r="J158" s="4">
        <v>33360</v>
      </c>
      <c r="K158" s="2">
        <v>1510237</v>
      </c>
      <c r="L158" s="2">
        <v>1.544</v>
      </c>
    </row>
    <row r="159" spans="1:12" ht="34" x14ac:dyDescent="0.2">
      <c r="A159" s="2" t="s">
        <v>12</v>
      </c>
      <c r="B159" s="4" t="s">
        <v>65</v>
      </c>
      <c r="C159" s="4">
        <v>2022</v>
      </c>
      <c r="D159" s="4">
        <v>12</v>
      </c>
      <c r="E159" s="2" t="s">
        <v>17</v>
      </c>
      <c r="F159" s="4" t="s">
        <v>18</v>
      </c>
      <c r="G159" s="7" t="s">
        <v>19</v>
      </c>
      <c r="H159" s="4">
        <v>50</v>
      </c>
      <c r="I159" s="4">
        <v>0</v>
      </c>
      <c r="J159" s="4">
        <v>10522</v>
      </c>
      <c r="K159" s="2">
        <v>0</v>
      </c>
      <c r="L159" s="2">
        <v>1.0999999999999999E-2</v>
      </c>
    </row>
    <row r="160" spans="1:12" ht="17" x14ac:dyDescent="0.2">
      <c r="A160" s="2" t="s">
        <v>12</v>
      </c>
      <c r="B160" s="4" t="s">
        <v>65</v>
      </c>
      <c r="C160" s="4">
        <v>2022</v>
      </c>
      <c r="D160" s="4">
        <v>12</v>
      </c>
      <c r="E160" s="2" t="s">
        <v>63</v>
      </c>
      <c r="F160" s="4" t="s">
        <v>26</v>
      </c>
      <c r="G160" s="7" t="s">
        <v>64</v>
      </c>
      <c r="H160" s="4">
        <v>10</v>
      </c>
      <c r="I160" s="4">
        <v>6</v>
      </c>
      <c r="J160" s="4">
        <v>6544</v>
      </c>
      <c r="K160" s="2">
        <v>1505784</v>
      </c>
      <c r="L160" s="2">
        <v>1.512</v>
      </c>
    </row>
    <row r="161" spans="1:12" ht="17" x14ac:dyDescent="0.2">
      <c r="A161" s="2" t="s">
        <v>12</v>
      </c>
      <c r="B161" s="4" t="s">
        <v>65</v>
      </c>
      <c r="C161" s="4">
        <v>2022</v>
      </c>
      <c r="D161" s="4">
        <v>12</v>
      </c>
      <c r="E161" s="2" t="s">
        <v>79</v>
      </c>
      <c r="F161" s="4" t="s">
        <v>71</v>
      </c>
      <c r="G161" s="7" t="s">
        <v>80</v>
      </c>
      <c r="H161" s="4">
        <v>36</v>
      </c>
      <c r="I161" s="4">
        <v>5</v>
      </c>
      <c r="J161" s="4">
        <v>30221</v>
      </c>
      <c r="K161" s="2">
        <v>21393</v>
      </c>
      <c r="L161" s="2">
        <v>5.1999999999999998E-2</v>
      </c>
    </row>
    <row r="162" spans="1:12" ht="17" x14ac:dyDescent="0.2">
      <c r="A162" s="2" t="s">
        <v>12</v>
      </c>
      <c r="B162" s="4" t="s">
        <v>65</v>
      </c>
      <c r="C162" s="4">
        <v>2022</v>
      </c>
      <c r="D162" s="4">
        <v>12</v>
      </c>
      <c r="E162" s="2" t="s">
        <v>54</v>
      </c>
      <c r="F162" s="4" t="s">
        <v>55</v>
      </c>
      <c r="G162" s="7" t="s">
        <v>56</v>
      </c>
      <c r="H162" s="4">
        <v>44</v>
      </c>
      <c r="I162" s="4">
        <v>3</v>
      </c>
      <c r="J162" s="4">
        <v>92583</v>
      </c>
      <c r="K162" s="2">
        <v>26569</v>
      </c>
      <c r="L162" s="2">
        <v>0.11899999999999999</v>
      </c>
    </row>
    <row r="163" spans="1:12" ht="34" x14ac:dyDescent="0.2">
      <c r="A163" s="2" t="s">
        <v>12</v>
      </c>
      <c r="B163" s="4" t="s">
        <v>65</v>
      </c>
      <c r="C163" s="4">
        <v>2022</v>
      </c>
      <c r="D163" s="4">
        <v>12</v>
      </c>
      <c r="E163" s="2" t="s">
        <v>61</v>
      </c>
      <c r="F163" s="4" t="s">
        <v>26</v>
      </c>
      <c r="G163" s="7" t="s">
        <v>62</v>
      </c>
      <c r="H163" s="4">
        <v>10</v>
      </c>
      <c r="I163" s="4">
        <v>0</v>
      </c>
      <c r="J163" s="4">
        <v>2036</v>
      </c>
      <c r="K163" s="2">
        <v>0</v>
      </c>
      <c r="L163" s="2">
        <v>2E-3</v>
      </c>
    </row>
    <row r="164" spans="1:12" x14ac:dyDescent="0.2">
      <c r="A164" s="2" t="s">
        <v>12</v>
      </c>
      <c r="B164" s="4" t="s">
        <v>65</v>
      </c>
      <c r="C164" s="4">
        <v>2022</v>
      </c>
      <c r="D164" s="4">
        <v>12</v>
      </c>
      <c r="E164" s="2" t="s">
        <v>14</v>
      </c>
      <c r="F164" s="4" t="s">
        <v>15</v>
      </c>
      <c r="H164" s="4">
        <v>2</v>
      </c>
      <c r="I164" s="4">
        <v>0</v>
      </c>
      <c r="J164" s="4">
        <v>2492</v>
      </c>
      <c r="K164" s="2">
        <v>0</v>
      </c>
      <c r="L164" s="2">
        <v>2.49E-3</v>
      </c>
    </row>
    <row r="165" spans="1:12" ht="17" x14ac:dyDescent="0.2">
      <c r="A165" s="2" t="s">
        <v>12</v>
      </c>
      <c r="B165" s="4" t="s">
        <v>65</v>
      </c>
      <c r="C165" s="4">
        <v>2022</v>
      </c>
      <c r="D165" s="4">
        <v>12</v>
      </c>
      <c r="E165" s="2" t="s">
        <v>87</v>
      </c>
      <c r="F165" s="4" t="s">
        <v>85</v>
      </c>
      <c r="G165" s="7" t="s">
        <v>88</v>
      </c>
      <c r="H165" s="4">
        <v>16</v>
      </c>
      <c r="I165" s="4">
        <v>0</v>
      </c>
      <c r="J165" s="4">
        <v>28843</v>
      </c>
      <c r="K165" s="2">
        <v>0</v>
      </c>
      <c r="L165" s="2">
        <v>2.9000000000000001E-2</v>
      </c>
    </row>
    <row r="166" spans="1:12" ht="17" x14ac:dyDescent="0.2">
      <c r="A166" s="2" t="s">
        <v>12</v>
      </c>
      <c r="B166" s="4" t="s">
        <v>65</v>
      </c>
      <c r="C166" s="4">
        <v>2022</v>
      </c>
      <c r="D166" s="4">
        <v>12</v>
      </c>
      <c r="E166" s="2" t="s">
        <v>20</v>
      </c>
      <c r="F166" s="4" t="s">
        <v>21</v>
      </c>
      <c r="G166" s="7" t="s">
        <v>22</v>
      </c>
      <c r="H166" s="4">
        <v>43</v>
      </c>
      <c r="I166" s="4">
        <v>0</v>
      </c>
      <c r="J166" s="4">
        <v>2042</v>
      </c>
      <c r="K166" s="2">
        <v>0</v>
      </c>
      <c r="L166" s="2">
        <v>2E-3</v>
      </c>
    </row>
    <row r="167" spans="1:12" ht="17" x14ac:dyDescent="0.2">
      <c r="A167" s="2" t="s">
        <v>12</v>
      </c>
      <c r="B167" s="4" t="s">
        <v>65</v>
      </c>
      <c r="C167" s="4">
        <v>2022</v>
      </c>
      <c r="D167" s="4">
        <v>12</v>
      </c>
      <c r="E167" s="2" t="s">
        <v>74</v>
      </c>
      <c r="F167" s="4" t="s">
        <v>75</v>
      </c>
      <c r="G167" s="7" t="s">
        <v>76</v>
      </c>
      <c r="H167" s="4">
        <v>8</v>
      </c>
      <c r="I167" s="4">
        <v>0</v>
      </c>
      <c r="J167" s="4">
        <v>12014</v>
      </c>
      <c r="K167" s="2">
        <v>0</v>
      </c>
      <c r="L167" s="2">
        <v>1.2E-2</v>
      </c>
    </row>
    <row r="168" spans="1:12" ht="17" x14ac:dyDescent="0.2">
      <c r="A168" s="2" t="s">
        <v>12</v>
      </c>
      <c r="B168" s="4" t="s">
        <v>65</v>
      </c>
      <c r="C168" s="4">
        <v>2022</v>
      </c>
      <c r="D168" s="4">
        <v>12</v>
      </c>
      <c r="E168" s="2" t="s">
        <v>73</v>
      </c>
      <c r="F168" s="4" t="s">
        <v>29</v>
      </c>
      <c r="G168" s="7" t="s">
        <v>30</v>
      </c>
      <c r="H168" s="4">
        <v>1505</v>
      </c>
      <c r="I168" s="4">
        <v>1</v>
      </c>
      <c r="J168" s="4">
        <v>3624266</v>
      </c>
      <c r="K168" s="2">
        <v>673740</v>
      </c>
      <c r="L168" s="2">
        <v>4.298</v>
      </c>
    </row>
    <row r="169" spans="1:12" ht="17" x14ac:dyDescent="0.2">
      <c r="A169" s="2" t="s">
        <v>12</v>
      </c>
      <c r="B169" s="4" t="s">
        <v>65</v>
      </c>
      <c r="C169" s="4">
        <v>2022</v>
      </c>
      <c r="D169" s="4">
        <v>12</v>
      </c>
      <c r="E169" s="2" t="s">
        <v>51</v>
      </c>
      <c r="F169" s="4" t="s">
        <v>52</v>
      </c>
      <c r="G169" s="7" t="s">
        <v>53</v>
      </c>
      <c r="H169" s="4">
        <v>5</v>
      </c>
      <c r="I169" s="4">
        <v>11</v>
      </c>
      <c r="J169" s="4">
        <v>300</v>
      </c>
      <c r="K169" s="2">
        <v>216031</v>
      </c>
      <c r="L169" s="2">
        <v>0.216</v>
      </c>
    </row>
    <row r="170" spans="1:12" ht="17" x14ac:dyDescent="0.2">
      <c r="A170" s="2" t="s">
        <v>12</v>
      </c>
      <c r="B170" s="4" t="s">
        <v>65</v>
      </c>
      <c r="C170" s="4">
        <v>2022</v>
      </c>
      <c r="D170" s="4">
        <v>12</v>
      </c>
      <c r="E170" s="2" t="s">
        <v>36</v>
      </c>
      <c r="F170" s="4" t="s">
        <v>15</v>
      </c>
      <c r="G170" s="7" t="s">
        <v>37</v>
      </c>
      <c r="H170" s="4">
        <v>63</v>
      </c>
      <c r="I170" s="4">
        <v>0</v>
      </c>
      <c r="J170" s="4">
        <v>3922</v>
      </c>
      <c r="K170" s="2">
        <v>0</v>
      </c>
      <c r="L170" s="2">
        <v>4.0000000000000001E-3</v>
      </c>
    </row>
    <row r="171" spans="1:12" ht="17" x14ac:dyDescent="0.2">
      <c r="A171" s="2" t="s">
        <v>12</v>
      </c>
      <c r="B171" s="4" t="s">
        <v>65</v>
      </c>
      <c r="C171" s="4">
        <v>2022</v>
      </c>
      <c r="D171" s="4">
        <v>12</v>
      </c>
      <c r="E171" s="2" t="s">
        <v>77</v>
      </c>
      <c r="F171" s="4" t="s">
        <v>15</v>
      </c>
      <c r="G171" s="7" t="s">
        <v>78</v>
      </c>
      <c r="H171" s="4">
        <v>17</v>
      </c>
      <c r="I171" s="4">
        <v>0</v>
      </c>
      <c r="J171" s="4">
        <v>1172</v>
      </c>
      <c r="K171" s="2">
        <v>0</v>
      </c>
      <c r="L171" s="2">
        <v>1E-3</v>
      </c>
    </row>
    <row r="172" spans="1:12" x14ac:dyDescent="0.2">
      <c r="A172" s="2" t="s">
        <v>12</v>
      </c>
      <c r="B172" s="4" t="s">
        <v>13</v>
      </c>
      <c r="C172" s="4">
        <v>2023</v>
      </c>
      <c r="D172" s="4">
        <v>2</v>
      </c>
      <c r="E172" s="2" t="s">
        <v>14</v>
      </c>
      <c r="F172" s="4" t="s">
        <v>15</v>
      </c>
      <c r="H172" s="4">
        <v>4</v>
      </c>
      <c r="I172" s="4">
        <v>0</v>
      </c>
      <c r="J172" s="4">
        <v>2713</v>
      </c>
      <c r="K172" s="2">
        <v>0</v>
      </c>
      <c r="L172" s="2">
        <v>2.7100000000000002E-3</v>
      </c>
    </row>
    <row r="173" spans="1:12" ht="17" x14ac:dyDescent="0.2">
      <c r="A173" s="2" t="s">
        <v>12</v>
      </c>
      <c r="B173" s="4" t="s">
        <v>13</v>
      </c>
      <c r="C173" s="4">
        <v>2023</v>
      </c>
      <c r="D173" s="4">
        <v>2</v>
      </c>
      <c r="E173" s="2" t="s">
        <v>28</v>
      </c>
      <c r="F173" s="4" t="s">
        <v>29</v>
      </c>
      <c r="G173" s="7" t="s">
        <v>30</v>
      </c>
      <c r="H173" s="4">
        <v>606</v>
      </c>
      <c r="I173" s="4">
        <v>2</v>
      </c>
      <c r="J173" s="4">
        <v>3780000</v>
      </c>
      <c r="K173" s="2">
        <v>1110000</v>
      </c>
      <c r="L173" s="2">
        <v>4.8899999999999997</v>
      </c>
    </row>
    <row r="174" spans="1:12" ht="17" x14ac:dyDescent="0.2">
      <c r="A174" s="2" t="s">
        <v>12</v>
      </c>
      <c r="B174" s="4" t="s">
        <v>13</v>
      </c>
      <c r="C174" s="4">
        <v>2023</v>
      </c>
      <c r="D174" s="4">
        <v>2</v>
      </c>
      <c r="E174" s="2" t="s">
        <v>73</v>
      </c>
      <c r="F174" s="4" t="s">
        <v>29</v>
      </c>
      <c r="G174" s="7" t="s">
        <v>30</v>
      </c>
      <c r="H174" s="4">
        <v>1582</v>
      </c>
      <c r="I174" s="4">
        <v>1</v>
      </c>
      <c r="J174" s="4">
        <v>3754031</v>
      </c>
      <c r="K174" s="2">
        <v>940140</v>
      </c>
      <c r="L174" s="2">
        <v>4.694</v>
      </c>
    </row>
    <row r="175" spans="1:12" ht="17" x14ac:dyDescent="0.2">
      <c r="A175" s="2" t="s">
        <v>12</v>
      </c>
      <c r="B175" s="4" t="s">
        <v>13</v>
      </c>
      <c r="C175" s="4">
        <v>2023</v>
      </c>
      <c r="D175" s="4">
        <v>2</v>
      </c>
      <c r="E175" s="2" t="s">
        <v>60</v>
      </c>
      <c r="F175" s="4" t="s">
        <v>29</v>
      </c>
      <c r="G175" s="7" t="s">
        <v>30</v>
      </c>
      <c r="H175" s="4">
        <v>997</v>
      </c>
      <c r="I175" s="4">
        <v>2</v>
      </c>
      <c r="J175" s="4">
        <v>1949546</v>
      </c>
      <c r="K175" s="2">
        <v>619860</v>
      </c>
      <c r="L175" s="2">
        <v>2.569</v>
      </c>
    </row>
    <row r="176" spans="1:12" ht="17" x14ac:dyDescent="0.2">
      <c r="A176" s="2" t="s">
        <v>12</v>
      </c>
      <c r="B176" s="4" t="s">
        <v>13</v>
      </c>
      <c r="C176" s="4">
        <v>2023</v>
      </c>
      <c r="D176" s="4">
        <v>2</v>
      </c>
      <c r="E176" s="2" t="s">
        <v>81</v>
      </c>
      <c r="F176" s="4" t="s">
        <v>82</v>
      </c>
      <c r="G176" s="7" t="s">
        <v>83</v>
      </c>
      <c r="H176" s="4">
        <v>1</v>
      </c>
      <c r="I176" s="4">
        <v>0</v>
      </c>
      <c r="J176" s="4">
        <v>177</v>
      </c>
      <c r="K176" s="2">
        <v>0</v>
      </c>
      <c r="L176" s="2">
        <v>0</v>
      </c>
    </row>
    <row r="177" spans="1:12" ht="17" x14ac:dyDescent="0.2">
      <c r="A177" s="2" t="s">
        <v>12</v>
      </c>
      <c r="B177" s="4" t="s">
        <v>13</v>
      </c>
      <c r="C177" s="4">
        <v>2023</v>
      </c>
      <c r="D177" s="4">
        <v>2</v>
      </c>
      <c r="E177" s="2" t="s">
        <v>87</v>
      </c>
      <c r="F177" s="4" t="s">
        <v>85</v>
      </c>
      <c r="G177" s="7" t="s">
        <v>88</v>
      </c>
      <c r="H177" s="4">
        <v>22</v>
      </c>
      <c r="I177" s="4">
        <v>0</v>
      </c>
      <c r="J177" s="4">
        <v>8699</v>
      </c>
      <c r="K177" s="2">
        <v>0</v>
      </c>
      <c r="L177" s="2">
        <v>8.9999999999999993E-3</v>
      </c>
    </row>
    <row r="178" spans="1:12" ht="17" x14ac:dyDescent="0.2">
      <c r="A178" s="2" t="s">
        <v>12</v>
      </c>
      <c r="B178" s="4" t="s">
        <v>13</v>
      </c>
      <c r="C178" s="4">
        <v>2023</v>
      </c>
      <c r="D178" s="4">
        <v>2</v>
      </c>
      <c r="E178" s="2" t="s">
        <v>74</v>
      </c>
      <c r="F178" s="4" t="s">
        <v>75</v>
      </c>
      <c r="G178" s="7" t="s">
        <v>76</v>
      </c>
      <c r="H178" s="4">
        <v>8</v>
      </c>
      <c r="I178" s="4">
        <v>0</v>
      </c>
      <c r="J178" s="4">
        <v>6185</v>
      </c>
      <c r="K178" s="2">
        <v>0</v>
      </c>
      <c r="L178" s="2">
        <v>6.0000000000000001E-3</v>
      </c>
    </row>
    <row r="179" spans="1:12" ht="17" x14ac:dyDescent="0.2">
      <c r="A179" s="2" t="s">
        <v>12</v>
      </c>
      <c r="B179" s="4" t="s">
        <v>13</v>
      </c>
      <c r="C179" s="4">
        <v>2023</v>
      </c>
      <c r="D179" s="4">
        <v>2</v>
      </c>
      <c r="E179" s="2" t="s">
        <v>66</v>
      </c>
      <c r="F179" s="4" t="s">
        <v>58</v>
      </c>
      <c r="G179" s="7" t="s">
        <v>67</v>
      </c>
      <c r="H179" s="4">
        <v>2583</v>
      </c>
      <c r="I179" s="4">
        <v>17</v>
      </c>
      <c r="J179" s="4">
        <v>270048</v>
      </c>
      <c r="K179" s="2">
        <v>5562424</v>
      </c>
      <c r="L179" s="2">
        <v>5.8319999999999999</v>
      </c>
    </row>
    <row r="180" spans="1:12" ht="17" x14ac:dyDescent="0.2">
      <c r="A180" s="2" t="s">
        <v>12</v>
      </c>
      <c r="B180" s="4" t="s">
        <v>13</v>
      </c>
      <c r="C180" s="4">
        <v>2023</v>
      </c>
      <c r="D180" s="4">
        <v>2</v>
      </c>
      <c r="E180" s="2" t="s">
        <v>57</v>
      </c>
      <c r="F180" s="4" t="s">
        <v>58</v>
      </c>
      <c r="G180" s="7" t="s">
        <v>59</v>
      </c>
      <c r="H180" s="4">
        <v>18</v>
      </c>
      <c r="I180" s="4">
        <v>10</v>
      </c>
      <c r="J180" s="4">
        <v>43144</v>
      </c>
      <c r="K180" s="2">
        <v>1552737</v>
      </c>
      <c r="L180" s="2">
        <v>1.5960000000000001</v>
      </c>
    </row>
    <row r="181" spans="1:12" ht="34" x14ac:dyDescent="0.2">
      <c r="A181" s="2" t="s">
        <v>12</v>
      </c>
      <c r="B181" s="4" t="s">
        <v>13</v>
      </c>
      <c r="C181" s="4">
        <v>2023</v>
      </c>
      <c r="D181" s="4">
        <v>2</v>
      </c>
      <c r="E181" s="2" t="s">
        <v>61</v>
      </c>
      <c r="F181" s="4" t="s">
        <v>26</v>
      </c>
      <c r="G181" s="7" t="s">
        <v>62</v>
      </c>
      <c r="H181" s="4">
        <v>14</v>
      </c>
      <c r="I181" s="4">
        <v>0</v>
      </c>
      <c r="J181" s="4">
        <v>3717</v>
      </c>
      <c r="K181" s="2">
        <v>0</v>
      </c>
      <c r="L181" s="2">
        <v>4.0000000000000001E-3</v>
      </c>
    </row>
    <row r="182" spans="1:12" ht="17" x14ac:dyDescent="0.2">
      <c r="A182" s="2" t="s">
        <v>12</v>
      </c>
      <c r="B182" s="4" t="s">
        <v>13</v>
      </c>
      <c r="C182" s="4">
        <v>2023</v>
      </c>
      <c r="D182" s="4">
        <v>2</v>
      </c>
      <c r="E182" s="2" t="s">
        <v>34</v>
      </c>
      <c r="F182" s="4" t="s">
        <v>26</v>
      </c>
      <c r="G182" s="7" t="s">
        <v>35</v>
      </c>
      <c r="H182" s="4">
        <v>11</v>
      </c>
      <c r="I182" s="4">
        <v>3</v>
      </c>
      <c r="J182" s="4">
        <v>14522</v>
      </c>
      <c r="K182" s="2">
        <v>373544</v>
      </c>
      <c r="L182" s="2">
        <v>0.38800000000000001</v>
      </c>
    </row>
    <row r="183" spans="1:12" ht="17" x14ac:dyDescent="0.2">
      <c r="A183" s="2" t="s">
        <v>12</v>
      </c>
      <c r="B183" s="4" t="s">
        <v>13</v>
      </c>
      <c r="C183" s="4">
        <v>2023</v>
      </c>
      <c r="D183" s="4">
        <v>2</v>
      </c>
      <c r="E183" s="2" t="s">
        <v>54</v>
      </c>
      <c r="F183" s="4" t="s">
        <v>55</v>
      </c>
      <c r="G183" s="7" t="s">
        <v>56</v>
      </c>
      <c r="H183" s="4">
        <v>75</v>
      </c>
      <c r="I183" s="4">
        <v>3</v>
      </c>
      <c r="J183" s="4">
        <v>105681</v>
      </c>
      <c r="K183" s="2">
        <v>27320</v>
      </c>
      <c r="L183" s="2">
        <v>0.13300000000000001</v>
      </c>
    </row>
    <row r="184" spans="1:12" ht="17" x14ac:dyDescent="0.2">
      <c r="A184" s="2" t="s">
        <v>12</v>
      </c>
      <c r="B184" s="4" t="s">
        <v>13</v>
      </c>
      <c r="C184" s="4">
        <v>2023</v>
      </c>
      <c r="D184" s="4">
        <v>2</v>
      </c>
      <c r="E184" s="2" t="s">
        <v>63</v>
      </c>
      <c r="F184" s="4" t="s">
        <v>26</v>
      </c>
      <c r="G184" s="7" t="s">
        <v>64</v>
      </c>
      <c r="H184" s="4">
        <v>10</v>
      </c>
      <c r="I184" s="4">
        <v>6</v>
      </c>
      <c r="J184" s="4">
        <v>6058</v>
      </c>
      <c r="K184" s="2">
        <v>1442287</v>
      </c>
      <c r="L184" s="2">
        <v>1.448</v>
      </c>
    </row>
    <row r="185" spans="1:12" ht="17" x14ac:dyDescent="0.2">
      <c r="A185" s="2" t="s">
        <v>12</v>
      </c>
      <c r="B185" s="4" t="s">
        <v>13</v>
      </c>
      <c r="C185" s="4">
        <v>2023</v>
      </c>
      <c r="D185" s="4">
        <v>2</v>
      </c>
      <c r="E185" s="2" t="s">
        <v>77</v>
      </c>
      <c r="F185" s="4" t="s">
        <v>15</v>
      </c>
      <c r="G185" s="7" t="s">
        <v>78</v>
      </c>
      <c r="H185" s="4">
        <v>18</v>
      </c>
      <c r="I185" s="4">
        <v>0</v>
      </c>
      <c r="J185" s="4">
        <v>3002</v>
      </c>
      <c r="K185" s="2">
        <v>0</v>
      </c>
      <c r="L185" s="2">
        <v>3.0000000000000001E-3</v>
      </c>
    </row>
    <row r="186" spans="1:12" ht="17" x14ac:dyDescent="0.2">
      <c r="A186" s="2" t="s">
        <v>12</v>
      </c>
      <c r="B186" s="4" t="s">
        <v>13</v>
      </c>
      <c r="C186" s="4">
        <v>2023</v>
      </c>
      <c r="D186" s="4">
        <v>2</v>
      </c>
      <c r="E186" s="2" t="s">
        <v>51</v>
      </c>
      <c r="F186" s="4" t="s">
        <v>52</v>
      </c>
      <c r="G186" s="7" t="s">
        <v>53</v>
      </c>
      <c r="H186" s="4">
        <v>5</v>
      </c>
      <c r="I186" s="4">
        <v>11</v>
      </c>
      <c r="J186" s="4">
        <v>310</v>
      </c>
      <c r="K186" s="2">
        <v>202403</v>
      </c>
      <c r="L186" s="2">
        <v>0.20300000000000001</v>
      </c>
    </row>
    <row r="187" spans="1:12" ht="17" x14ac:dyDescent="0.2">
      <c r="A187" s="2" t="s">
        <v>12</v>
      </c>
      <c r="B187" s="4" t="s">
        <v>13</v>
      </c>
      <c r="C187" s="4">
        <v>2023</v>
      </c>
      <c r="D187" s="4">
        <v>2</v>
      </c>
      <c r="E187" s="2" t="s">
        <v>36</v>
      </c>
      <c r="F187" s="4" t="s">
        <v>15</v>
      </c>
      <c r="G187" s="7" t="s">
        <v>37</v>
      </c>
      <c r="H187" s="4">
        <v>63</v>
      </c>
      <c r="I187" s="4">
        <v>0</v>
      </c>
      <c r="J187" s="4">
        <v>7579</v>
      </c>
      <c r="K187" s="2">
        <v>0</v>
      </c>
      <c r="L187" s="2">
        <v>8.0000000000000002E-3</v>
      </c>
    </row>
    <row r="188" spans="1:12" ht="17" x14ac:dyDescent="0.2">
      <c r="A188" s="2" t="s">
        <v>12</v>
      </c>
      <c r="B188" s="4" t="s">
        <v>13</v>
      </c>
      <c r="C188" s="4">
        <v>2023</v>
      </c>
      <c r="D188" s="4">
        <v>7</v>
      </c>
      <c r="E188" s="2" t="s">
        <v>90</v>
      </c>
      <c r="F188" s="4" t="s">
        <v>85</v>
      </c>
      <c r="G188" s="7" t="s">
        <v>91</v>
      </c>
      <c r="H188" s="4">
        <v>158</v>
      </c>
      <c r="I188" s="4">
        <v>11</v>
      </c>
      <c r="J188" s="4">
        <v>348636</v>
      </c>
      <c r="K188" s="2">
        <v>87169</v>
      </c>
      <c r="L188" s="2">
        <v>0.436</v>
      </c>
    </row>
    <row r="189" spans="1:12" ht="17" x14ac:dyDescent="0.2">
      <c r="A189" s="2" t="s">
        <v>12</v>
      </c>
      <c r="B189" s="4" t="s">
        <v>65</v>
      </c>
      <c r="C189" s="4">
        <v>2022</v>
      </c>
      <c r="D189" s="4">
        <v>4</v>
      </c>
      <c r="E189" s="2" t="s">
        <v>81</v>
      </c>
      <c r="F189" s="4" t="s">
        <v>82</v>
      </c>
      <c r="G189" s="7" t="s">
        <v>83</v>
      </c>
      <c r="H189" s="4">
        <v>0</v>
      </c>
      <c r="I189" s="4">
        <v>0</v>
      </c>
      <c r="J189" s="4">
        <v>0</v>
      </c>
      <c r="K189" s="2">
        <v>0</v>
      </c>
      <c r="L189" s="2">
        <v>0</v>
      </c>
    </row>
    <row r="190" spans="1:12" ht="17" x14ac:dyDescent="0.2">
      <c r="A190" s="2" t="s">
        <v>12</v>
      </c>
      <c r="B190" s="4" t="s">
        <v>13</v>
      </c>
      <c r="C190" s="4">
        <v>2023</v>
      </c>
      <c r="D190" s="4">
        <v>3</v>
      </c>
      <c r="E190" s="2" t="s">
        <v>63</v>
      </c>
      <c r="F190" s="4" t="s">
        <v>26</v>
      </c>
      <c r="G190" s="7" t="s">
        <v>64</v>
      </c>
      <c r="H190" s="4">
        <v>10</v>
      </c>
      <c r="I190" s="4">
        <v>6</v>
      </c>
      <c r="J190" s="4">
        <v>6349</v>
      </c>
      <c r="K190" s="2">
        <v>1648190</v>
      </c>
      <c r="L190" s="2">
        <v>1.655</v>
      </c>
    </row>
    <row r="191" spans="1:12" ht="34" x14ac:dyDescent="0.2">
      <c r="A191" s="2" t="s">
        <v>12</v>
      </c>
      <c r="B191" s="4" t="s">
        <v>13</v>
      </c>
      <c r="C191" s="4">
        <v>2023</v>
      </c>
      <c r="D191" s="4">
        <v>2</v>
      </c>
      <c r="E191" s="2" t="s">
        <v>17</v>
      </c>
      <c r="F191" s="4" t="s">
        <v>18</v>
      </c>
      <c r="G191" s="7" t="s">
        <v>19</v>
      </c>
      <c r="H191" s="4">
        <v>57</v>
      </c>
      <c r="I191" s="4">
        <v>0</v>
      </c>
      <c r="J191" s="4">
        <v>9947</v>
      </c>
      <c r="K191" s="2">
        <v>0</v>
      </c>
      <c r="L191" s="2">
        <v>0.01</v>
      </c>
    </row>
    <row r="192" spans="1:12" ht="17" x14ac:dyDescent="0.2">
      <c r="A192" s="2" t="s">
        <v>12</v>
      </c>
      <c r="B192" s="4" t="s">
        <v>13</v>
      </c>
      <c r="C192" s="4">
        <v>2023</v>
      </c>
      <c r="D192" s="4">
        <v>2</v>
      </c>
      <c r="E192" s="2" t="s">
        <v>68</v>
      </c>
      <c r="F192" s="4" t="s">
        <v>18</v>
      </c>
      <c r="G192" s="7" t="s">
        <v>69</v>
      </c>
      <c r="H192" s="4">
        <v>24</v>
      </c>
      <c r="I192" s="4">
        <v>7</v>
      </c>
      <c r="J192" s="4">
        <v>4306</v>
      </c>
      <c r="K192" s="2">
        <v>169238</v>
      </c>
      <c r="L192" s="2">
        <v>0.17399999999999999</v>
      </c>
    </row>
    <row r="193" spans="1:12" ht="17" x14ac:dyDescent="0.2">
      <c r="A193" s="2" t="s">
        <v>12</v>
      </c>
      <c r="B193" s="4" t="s">
        <v>13</v>
      </c>
      <c r="C193" s="4">
        <v>2023</v>
      </c>
      <c r="D193" s="4">
        <v>2</v>
      </c>
      <c r="E193" s="2" t="s">
        <v>38</v>
      </c>
      <c r="F193" s="4" t="s">
        <v>21</v>
      </c>
      <c r="G193" s="7" t="s">
        <v>22</v>
      </c>
      <c r="H193" s="4">
        <v>105</v>
      </c>
      <c r="I193" s="4">
        <v>0</v>
      </c>
      <c r="J193" s="4">
        <v>25989</v>
      </c>
      <c r="K193" s="2">
        <v>0</v>
      </c>
      <c r="L193" s="2">
        <v>2.5999999999999999E-2</v>
      </c>
    </row>
    <row r="194" spans="1:12" ht="17" x14ac:dyDescent="0.2">
      <c r="A194" s="2" t="s">
        <v>12</v>
      </c>
      <c r="B194" s="4" t="s">
        <v>13</v>
      </c>
      <c r="C194" s="4">
        <v>2023</v>
      </c>
      <c r="D194" s="4">
        <v>2</v>
      </c>
      <c r="E194" s="2" t="s">
        <v>79</v>
      </c>
      <c r="F194" s="4" t="s">
        <v>71</v>
      </c>
      <c r="G194" s="7" t="s">
        <v>80</v>
      </c>
      <c r="H194" s="4">
        <v>42</v>
      </c>
      <c r="I194" s="4">
        <v>6</v>
      </c>
      <c r="J194" s="4">
        <v>30000</v>
      </c>
      <c r="K194" s="2">
        <v>74000</v>
      </c>
      <c r="L194" s="2">
        <v>0.104</v>
      </c>
    </row>
    <row r="195" spans="1:12" ht="17" x14ac:dyDescent="0.2">
      <c r="A195" s="2" t="s">
        <v>12</v>
      </c>
      <c r="B195" s="4" t="s">
        <v>13</v>
      </c>
      <c r="C195" s="4">
        <v>2023</v>
      </c>
      <c r="D195" s="4">
        <v>2</v>
      </c>
      <c r="E195" s="2" t="s">
        <v>20</v>
      </c>
      <c r="F195" s="4" t="s">
        <v>21</v>
      </c>
      <c r="G195" s="7" t="s">
        <v>22</v>
      </c>
      <c r="H195" s="4">
        <v>105</v>
      </c>
      <c r="I195" s="4">
        <v>0</v>
      </c>
      <c r="J195" s="4">
        <v>25989</v>
      </c>
      <c r="K195" s="2">
        <v>0</v>
      </c>
      <c r="L195" s="2">
        <v>2.5999999999999999E-2</v>
      </c>
    </row>
    <row r="196" spans="1:12" ht="34" x14ac:dyDescent="0.2">
      <c r="A196" s="2" t="s">
        <v>12</v>
      </c>
      <c r="B196" s="4" t="s">
        <v>13</v>
      </c>
      <c r="C196" s="4">
        <v>2023</v>
      </c>
      <c r="D196" s="4">
        <v>2</v>
      </c>
      <c r="E196" s="2" t="s">
        <v>70</v>
      </c>
      <c r="F196" s="4" t="s">
        <v>71</v>
      </c>
      <c r="G196" s="7" t="s">
        <v>72</v>
      </c>
      <c r="H196" s="4">
        <v>29</v>
      </c>
      <c r="I196" s="4">
        <v>0</v>
      </c>
      <c r="J196" s="4">
        <v>5507</v>
      </c>
      <c r="K196" s="2">
        <v>0</v>
      </c>
      <c r="L196" s="2">
        <v>6.0000000000000001E-3</v>
      </c>
    </row>
    <row r="197" spans="1:12" ht="17" x14ac:dyDescent="0.2">
      <c r="A197" s="2" t="s">
        <v>12</v>
      </c>
      <c r="B197" s="4" t="s">
        <v>13</v>
      </c>
      <c r="C197" s="4">
        <v>2023</v>
      </c>
      <c r="D197" s="4">
        <v>2</v>
      </c>
      <c r="E197" s="2" t="s">
        <v>45</v>
      </c>
      <c r="F197" s="4" t="s">
        <v>46</v>
      </c>
      <c r="G197" s="7" t="s">
        <v>47</v>
      </c>
      <c r="H197" s="4">
        <v>121</v>
      </c>
      <c r="I197" s="4">
        <v>4</v>
      </c>
      <c r="J197" s="4">
        <v>60911</v>
      </c>
      <c r="K197" s="2">
        <v>20002</v>
      </c>
      <c r="L197" s="2">
        <v>8.1000000000000003E-2</v>
      </c>
    </row>
    <row r="198" spans="1:12" ht="17" x14ac:dyDescent="0.2">
      <c r="A198" s="2" t="s">
        <v>12</v>
      </c>
      <c r="B198" s="4" t="s">
        <v>13</v>
      </c>
      <c r="C198" s="4">
        <v>2023</v>
      </c>
      <c r="D198" s="4">
        <v>1</v>
      </c>
      <c r="E198" s="2" t="s">
        <v>77</v>
      </c>
      <c r="F198" s="4" t="s">
        <v>15</v>
      </c>
      <c r="G198" s="7" t="s">
        <v>78</v>
      </c>
      <c r="H198" s="4">
        <v>18</v>
      </c>
      <c r="I198" s="4">
        <v>0</v>
      </c>
      <c r="J198" s="4">
        <v>4013</v>
      </c>
      <c r="K198" s="2">
        <v>0</v>
      </c>
      <c r="L198" s="2">
        <v>4.0000000000000001E-3</v>
      </c>
    </row>
    <row r="199" spans="1:12" x14ac:dyDescent="0.2">
      <c r="A199" s="2" t="s">
        <v>12</v>
      </c>
      <c r="B199" s="4" t="s">
        <v>13</v>
      </c>
      <c r="C199" s="4">
        <v>2023</v>
      </c>
      <c r="D199" s="4">
        <v>1</v>
      </c>
      <c r="E199" s="2" t="s">
        <v>14</v>
      </c>
      <c r="F199" s="4" t="s">
        <v>15</v>
      </c>
      <c r="H199" s="4">
        <v>3</v>
      </c>
      <c r="I199" s="4">
        <v>0</v>
      </c>
      <c r="J199" s="4">
        <v>269</v>
      </c>
      <c r="K199" s="2">
        <v>0</v>
      </c>
      <c r="L199" s="2">
        <v>2.7E-4</v>
      </c>
    </row>
    <row r="200" spans="1:12" ht="17" x14ac:dyDescent="0.2">
      <c r="A200" s="2" t="s">
        <v>12</v>
      </c>
      <c r="B200" s="4" t="s">
        <v>13</v>
      </c>
      <c r="C200" s="4">
        <v>2023</v>
      </c>
      <c r="D200" s="4">
        <v>1</v>
      </c>
      <c r="E200" s="2" t="s">
        <v>66</v>
      </c>
      <c r="F200" s="4" t="s">
        <v>58</v>
      </c>
      <c r="G200" s="7" t="s">
        <v>67</v>
      </c>
      <c r="H200" s="4">
        <v>2583</v>
      </c>
      <c r="I200" s="4">
        <v>13</v>
      </c>
      <c r="J200" s="4">
        <v>179586</v>
      </c>
      <c r="K200" s="2">
        <v>5219094</v>
      </c>
      <c r="L200" s="2">
        <v>5.399</v>
      </c>
    </row>
    <row r="201" spans="1:12" ht="17" x14ac:dyDescent="0.2">
      <c r="A201" s="2" t="s">
        <v>12</v>
      </c>
      <c r="B201" s="4" t="s">
        <v>13</v>
      </c>
      <c r="C201" s="4">
        <v>2023</v>
      </c>
      <c r="D201" s="4">
        <v>1</v>
      </c>
      <c r="E201" s="2" t="s">
        <v>51</v>
      </c>
      <c r="F201" s="4" t="s">
        <v>52</v>
      </c>
      <c r="G201" s="7" t="s">
        <v>53</v>
      </c>
      <c r="H201" s="4">
        <v>5</v>
      </c>
      <c r="I201" s="4">
        <v>11</v>
      </c>
      <c r="J201" s="4">
        <v>320</v>
      </c>
      <c r="K201" s="2">
        <v>207064</v>
      </c>
      <c r="L201" s="2">
        <v>0.20699999999999999</v>
      </c>
    </row>
    <row r="202" spans="1:12" ht="17" x14ac:dyDescent="0.2">
      <c r="A202" s="2" t="s">
        <v>12</v>
      </c>
      <c r="B202" s="4" t="s">
        <v>13</v>
      </c>
      <c r="C202" s="4">
        <v>2023</v>
      </c>
      <c r="D202" s="4">
        <v>1</v>
      </c>
      <c r="E202" s="2" t="s">
        <v>28</v>
      </c>
      <c r="F202" s="4" t="s">
        <v>29</v>
      </c>
      <c r="G202" s="7" t="s">
        <v>30</v>
      </c>
      <c r="H202" s="4">
        <v>595</v>
      </c>
      <c r="I202" s="4">
        <v>2</v>
      </c>
      <c r="J202" s="4">
        <v>2950000</v>
      </c>
      <c r="K202" s="2">
        <v>970000</v>
      </c>
      <c r="L202" s="2">
        <v>3.92</v>
      </c>
    </row>
    <row r="203" spans="1:12" ht="17" x14ac:dyDescent="0.2">
      <c r="A203" s="2" t="s">
        <v>12</v>
      </c>
      <c r="B203" s="4" t="s">
        <v>13</v>
      </c>
      <c r="C203" s="4">
        <v>2023</v>
      </c>
      <c r="D203" s="4">
        <v>1</v>
      </c>
      <c r="E203" s="2" t="s">
        <v>73</v>
      </c>
      <c r="F203" s="4" t="s">
        <v>29</v>
      </c>
      <c r="G203" s="7" t="s">
        <v>30</v>
      </c>
      <c r="H203" s="4">
        <v>1553</v>
      </c>
      <c r="I203" s="4">
        <v>1</v>
      </c>
      <c r="J203" s="4">
        <v>3679434</v>
      </c>
      <c r="K203" s="2">
        <v>841800</v>
      </c>
      <c r="L203" s="2">
        <v>4.5209999999999999</v>
      </c>
    </row>
    <row r="204" spans="1:12" ht="17" x14ac:dyDescent="0.2">
      <c r="A204" s="2" t="s">
        <v>12</v>
      </c>
      <c r="B204" s="4" t="s">
        <v>13</v>
      </c>
      <c r="C204" s="4">
        <v>2023</v>
      </c>
      <c r="D204" s="4">
        <v>1</v>
      </c>
      <c r="E204" s="2" t="s">
        <v>74</v>
      </c>
      <c r="F204" s="4" t="s">
        <v>75</v>
      </c>
      <c r="G204" s="7" t="s">
        <v>76</v>
      </c>
      <c r="H204" s="4">
        <v>8</v>
      </c>
      <c r="I204" s="4">
        <v>0</v>
      </c>
      <c r="J204" s="4">
        <v>14162</v>
      </c>
      <c r="K204" s="2">
        <v>0</v>
      </c>
      <c r="L204" s="2">
        <v>1.4E-2</v>
      </c>
    </row>
    <row r="205" spans="1:12" ht="17" x14ac:dyDescent="0.2">
      <c r="A205" s="2" t="s">
        <v>12</v>
      </c>
      <c r="B205" s="4" t="s">
        <v>13</v>
      </c>
      <c r="C205" s="4">
        <v>2023</v>
      </c>
      <c r="D205" s="4">
        <v>1</v>
      </c>
      <c r="E205" s="2" t="s">
        <v>87</v>
      </c>
      <c r="F205" s="4" t="s">
        <v>85</v>
      </c>
      <c r="G205" s="7" t="s">
        <v>88</v>
      </c>
      <c r="H205" s="4">
        <v>22</v>
      </c>
      <c r="I205" s="4">
        <v>0</v>
      </c>
      <c r="J205" s="4">
        <v>7212</v>
      </c>
      <c r="K205" s="2">
        <v>0</v>
      </c>
      <c r="L205" s="2">
        <v>7.0000000000000001E-3</v>
      </c>
    </row>
    <row r="206" spans="1:12" ht="17" x14ac:dyDescent="0.2">
      <c r="A206" s="2" t="s">
        <v>12</v>
      </c>
      <c r="B206" s="4" t="s">
        <v>13</v>
      </c>
      <c r="C206" s="4">
        <v>2023</v>
      </c>
      <c r="D206" s="4">
        <v>1</v>
      </c>
      <c r="E206" s="2" t="s">
        <v>79</v>
      </c>
      <c r="F206" s="4" t="s">
        <v>71</v>
      </c>
      <c r="G206" s="7" t="s">
        <v>80</v>
      </c>
      <c r="H206" s="4">
        <v>39</v>
      </c>
      <c r="I206" s="4">
        <v>6</v>
      </c>
      <c r="J206" s="4">
        <v>34000</v>
      </c>
      <c r="K206" s="2">
        <v>54000</v>
      </c>
      <c r="L206" s="2">
        <v>8.7999999999999995E-2</v>
      </c>
    </row>
    <row r="207" spans="1:12" ht="17" x14ac:dyDescent="0.2">
      <c r="A207" s="2" t="s">
        <v>12</v>
      </c>
      <c r="B207" s="4" t="s">
        <v>13</v>
      </c>
      <c r="C207" s="4">
        <v>2023</v>
      </c>
      <c r="D207" s="4">
        <v>1</v>
      </c>
      <c r="E207" s="2" t="s">
        <v>68</v>
      </c>
      <c r="F207" s="4" t="s">
        <v>18</v>
      </c>
      <c r="G207" s="7" t="s">
        <v>69</v>
      </c>
      <c r="H207" s="4">
        <v>23</v>
      </c>
      <c r="I207" s="4">
        <v>7</v>
      </c>
      <c r="J207" s="4">
        <v>4681</v>
      </c>
      <c r="K207" s="2">
        <v>169239</v>
      </c>
      <c r="L207" s="2">
        <v>0.17399999999999999</v>
      </c>
    </row>
    <row r="208" spans="1:12" ht="17" x14ac:dyDescent="0.2">
      <c r="A208" s="2" t="s">
        <v>12</v>
      </c>
      <c r="B208" s="4" t="s">
        <v>13</v>
      </c>
      <c r="C208" s="4">
        <v>2023</v>
      </c>
      <c r="D208" s="4">
        <v>1</v>
      </c>
      <c r="E208" s="2" t="s">
        <v>81</v>
      </c>
      <c r="F208" s="4" t="s">
        <v>82</v>
      </c>
      <c r="G208" s="7" t="s">
        <v>83</v>
      </c>
      <c r="H208" s="4">
        <v>1</v>
      </c>
      <c r="I208" s="4">
        <v>0</v>
      </c>
      <c r="J208" s="4">
        <v>532</v>
      </c>
      <c r="K208" s="2">
        <v>0</v>
      </c>
      <c r="L208" s="2">
        <v>1E-3</v>
      </c>
    </row>
    <row r="209" spans="1:12" ht="17" x14ac:dyDescent="0.2">
      <c r="A209" s="2" t="s">
        <v>12</v>
      </c>
      <c r="B209" s="4" t="s">
        <v>13</v>
      </c>
      <c r="C209" s="4">
        <v>2023</v>
      </c>
      <c r="D209" s="4">
        <v>1</v>
      </c>
      <c r="E209" s="2" t="s">
        <v>34</v>
      </c>
      <c r="F209" s="4" t="s">
        <v>26</v>
      </c>
      <c r="G209" s="7" t="s">
        <v>35</v>
      </c>
      <c r="H209" s="4">
        <v>11</v>
      </c>
      <c r="I209" s="4">
        <v>3</v>
      </c>
      <c r="J209" s="4">
        <v>13187</v>
      </c>
      <c r="K209" s="2">
        <v>310184</v>
      </c>
      <c r="L209" s="2">
        <v>0.32300000000000001</v>
      </c>
    </row>
    <row r="210" spans="1:12" ht="17" x14ac:dyDescent="0.2">
      <c r="A210" s="2" t="s">
        <v>12</v>
      </c>
      <c r="B210" s="4" t="s">
        <v>13</v>
      </c>
      <c r="C210" s="4">
        <v>2023</v>
      </c>
      <c r="D210" s="4">
        <v>1</v>
      </c>
      <c r="E210" s="2" t="s">
        <v>45</v>
      </c>
      <c r="F210" s="4" t="s">
        <v>46</v>
      </c>
      <c r="G210" s="7" t="s">
        <v>47</v>
      </c>
      <c r="H210" s="4">
        <v>121</v>
      </c>
      <c r="I210" s="4">
        <v>4</v>
      </c>
      <c r="J210" s="4">
        <v>51729</v>
      </c>
      <c r="K210" s="2">
        <v>28555</v>
      </c>
      <c r="L210" s="2">
        <v>0.08</v>
      </c>
    </row>
    <row r="211" spans="1:12" ht="34" x14ac:dyDescent="0.2">
      <c r="A211" s="2" t="s">
        <v>12</v>
      </c>
      <c r="B211" s="4" t="s">
        <v>13</v>
      </c>
      <c r="C211" s="4">
        <v>2023</v>
      </c>
      <c r="D211" s="4">
        <v>1</v>
      </c>
      <c r="E211" s="2" t="s">
        <v>70</v>
      </c>
      <c r="F211" s="4" t="s">
        <v>71</v>
      </c>
      <c r="G211" s="7" t="s">
        <v>72</v>
      </c>
      <c r="H211" s="4">
        <v>25</v>
      </c>
      <c r="I211" s="4">
        <v>0</v>
      </c>
      <c r="J211" s="4">
        <v>4140</v>
      </c>
      <c r="K211" s="2">
        <v>0</v>
      </c>
      <c r="L211" s="2">
        <v>4.0000000000000001E-3</v>
      </c>
    </row>
    <row r="212" spans="1:12" ht="34" x14ac:dyDescent="0.2">
      <c r="A212" s="2" t="s">
        <v>12</v>
      </c>
      <c r="B212" s="4" t="s">
        <v>13</v>
      </c>
      <c r="C212" s="4">
        <v>2023</v>
      </c>
      <c r="D212" s="4">
        <v>1</v>
      </c>
      <c r="E212" s="2" t="s">
        <v>17</v>
      </c>
      <c r="F212" s="4" t="s">
        <v>18</v>
      </c>
      <c r="G212" s="7" t="s">
        <v>19</v>
      </c>
      <c r="H212" s="4">
        <v>53</v>
      </c>
      <c r="I212" s="4">
        <v>0</v>
      </c>
      <c r="J212" s="4">
        <v>11906</v>
      </c>
      <c r="K212" s="2">
        <v>0</v>
      </c>
      <c r="L212" s="2">
        <v>1.2E-2</v>
      </c>
    </row>
    <row r="213" spans="1:12" ht="17" x14ac:dyDescent="0.2">
      <c r="A213" s="2" t="s">
        <v>12</v>
      </c>
      <c r="B213" s="4" t="s">
        <v>13</v>
      </c>
      <c r="C213" s="4">
        <v>2023</v>
      </c>
      <c r="D213" s="4">
        <v>1</v>
      </c>
      <c r="E213" s="2" t="s">
        <v>20</v>
      </c>
      <c r="F213" s="4" t="s">
        <v>21</v>
      </c>
      <c r="G213" s="7" t="s">
        <v>22</v>
      </c>
      <c r="H213" s="4">
        <v>78</v>
      </c>
      <c r="I213" s="4">
        <v>0</v>
      </c>
      <c r="J213" s="4">
        <v>6000</v>
      </c>
      <c r="K213" s="2">
        <v>0</v>
      </c>
      <c r="L213" s="2">
        <v>6.0000000000000001E-3</v>
      </c>
    </row>
    <row r="214" spans="1:12" ht="17" x14ac:dyDescent="0.2">
      <c r="A214" s="2" t="s">
        <v>12</v>
      </c>
      <c r="B214" s="4" t="s">
        <v>65</v>
      </c>
      <c r="C214" s="4">
        <v>2022</v>
      </c>
      <c r="D214" s="4">
        <v>7</v>
      </c>
      <c r="E214" s="2" t="s">
        <v>34</v>
      </c>
      <c r="F214" s="4" t="s">
        <v>26</v>
      </c>
      <c r="G214" s="7" t="s">
        <v>35</v>
      </c>
      <c r="H214" s="4">
        <v>3</v>
      </c>
      <c r="I214" s="4">
        <v>1</v>
      </c>
      <c r="J214" s="4">
        <v>1677</v>
      </c>
      <c r="K214" s="2">
        <v>131220</v>
      </c>
      <c r="L214" s="2">
        <v>0.13300000000000001</v>
      </c>
    </row>
    <row r="215" spans="1:12" ht="17" x14ac:dyDescent="0.2">
      <c r="A215" s="2" t="s">
        <v>12</v>
      </c>
      <c r="B215" s="4" t="s">
        <v>65</v>
      </c>
      <c r="C215" s="4">
        <v>2022</v>
      </c>
      <c r="D215" s="4">
        <v>7</v>
      </c>
      <c r="E215" s="2" t="s">
        <v>57</v>
      </c>
      <c r="F215" s="4" t="s">
        <v>58</v>
      </c>
      <c r="G215" s="7" t="s">
        <v>59</v>
      </c>
      <c r="H215" s="4">
        <v>11</v>
      </c>
      <c r="I215" s="4">
        <v>10</v>
      </c>
      <c r="J215" s="4">
        <v>25843</v>
      </c>
      <c r="K215" s="2">
        <v>1352927</v>
      </c>
      <c r="L215" s="2">
        <v>1.379</v>
      </c>
    </row>
    <row r="216" spans="1:12" ht="17" x14ac:dyDescent="0.2">
      <c r="A216" s="2" t="s">
        <v>12</v>
      </c>
      <c r="B216" s="4" t="s">
        <v>65</v>
      </c>
      <c r="C216" s="4">
        <v>2022</v>
      </c>
      <c r="D216" s="4">
        <v>7</v>
      </c>
      <c r="E216" s="2" t="s">
        <v>63</v>
      </c>
      <c r="F216" s="4" t="s">
        <v>26</v>
      </c>
      <c r="G216" s="7" t="s">
        <v>64</v>
      </c>
      <c r="H216" s="4">
        <v>8</v>
      </c>
      <c r="I216" s="4">
        <v>5</v>
      </c>
      <c r="J216" s="4">
        <v>17373</v>
      </c>
      <c r="K216" s="2">
        <v>1446808</v>
      </c>
      <c r="L216" s="2">
        <v>1.464</v>
      </c>
    </row>
    <row r="217" spans="1:12" ht="17" x14ac:dyDescent="0.2">
      <c r="A217" s="2" t="s">
        <v>12</v>
      </c>
      <c r="B217" s="4" t="s">
        <v>65</v>
      </c>
      <c r="C217" s="4">
        <v>2022</v>
      </c>
      <c r="D217" s="4">
        <v>7</v>
      </c>
      <c r="E217" s="2" t="s">
        <v>66</v>
      </c>
      <c r="F217" s="4" t="s">
        <v>58</v>
      </c>
      <c r="G217" s="7" t="s">
        <v>67</v>
      </c>
      <c r="H217" s="4">
        <v>48</v>
      </c>
      <c r="I217" s="4">
        <v>4</v>
      </c>
      <c r="J217" s="4">
        <v>21098</v>
      </c>
      <c r="K217" s="2">
        <v>607724</v>
      </c>
      <c r="L217" s="2">
        <v>0.629</v>
      </c>
    </row>
    <row r="218" spans="1:12" ht="17" x14ac:dyDescent="0.2">
      <c r="A218" s="2" t="s">
        <v>12</v>
      </c>
      <c r="B218" s="4" t="s">
        <v>65</v>
      </c>
      <c r="C218" s="4">
        <v>2022</v>
      </c>
      <c r="D218" s="4">
        <v>7</v>
      </c>
      <c r="E218" s="2" t="s">
        <v>77</v>
      </c>
      <c r="F218" s="4" t="s">
        <v>15</v>
      </c>
      <c r="G218" s="7" t="s">
        <v>78</v>
      </c>
      <c r="H218" s="4">
        <v>9</v>
      </c>
      <c r="I218" s="4">
        <v>0</v>
      </c>
      <c r="J218" s="4">
        <v>168</v>
      </c>
      <c r="K218" s="2">
        <v>0</v>
      </c>
      <c r="L218" s="2">
        <v>0</v>
      </c>
    </row>
    <row r="219" spans="1:12" ht="17" x14ac:dyDescent="0.2">
      <c r="A219" s="2" t="s">
        <v>12</v>
      </c>
      <c r="B219" s="4" t="s">
        <v>65</v>
      </c>
      <c r="C219" s="4">
        <v>2022</v>
      </c>
      <c r="D219" s="4">
        <v>7</v>
      </c>
      <c r="E219" s="2" t="s">
        <v>54</v>
      </c>
      <c r="F219" s="4" t="s">
        <v>55</v>
      </c>
      <c r="G219" s="7" t="s">
        <v>56</v>
      </c>
      <c r="H219" s="4">
        <v>11</v>
      </c>
      <c r="I219" s="4">
        <v>2</v>
      </c>
      <c r="J219" s="4">
        <v>23291</v>
      </c>
      <c r="K219" s="2">
        <v>20598</v>
      </c>
      <c r="L219" s="2">
        <v>4.3999999999999997E-2</v>
      </c>
    </row>
    <row r="220" spans="1:12" ht="17" x14ac:dyDescent="0.2">
      <c r="A220" s="2" t="s">
        <v>12</v>
      </c>
      <c r="B220" s="4" t="s">
        <v>65</v>
      </c>
      <c r="C220" s="4">
        <v>2022</v>
      </c>
      <c r="D220" s="4">
        <v>7</v>
      </c>
      <c r="E220" s="2" t="s">
        <v>39</v>
      </c>
      <c r="F220" s="4" t="s">
        <v>40</v>
      </c>
      <c r="G220" s="7" t="s">
        <v>41</v>
      </c>
      <c r="H220" s="4">
        <v>34</v>
      </c>
      <c r="I220" s="4">
        <v>0</v>
      </c>
      <c r="J220" s="4">
        <v>62274</v>
      </c>
      <c r="K220" s="2">
        <v>0</v>
      </c>
      <c r="L220" s="2">
        <v>6.2E-2</v>
      </c>
    </row>
    <row r="221" spans="1:12" ht="17" x14ac:dyDescent="0.2">
      <c r="A221" s="2" t="s">
        <v>12</v>
      </c>
      <c r="B221" s="4" t="s">
        <v>65</v>
      </c>
      <c r="C221" s="4">
        <v>2022</v>
      </c>
      <c r="D221" s="4">
        <v>7</v>
      </c>
      <c r="E221" s="2" t="s">
        <v>36</v>
      </c>
      <c r="F221" s="4" t="s">
        <v>15</v>
      </c>
      <c r="G221" s="7" t="s">
        <v>37</v>
      </c>
      <c r="H221" s="4">
        <v>1</v>
      </c>
      <c r="I221" s="4">
        <v>0</v>
      </c>
      <c r="J221" s="4">
        <v>480</v>
      </c>
      <c r="K221" s="2">
        <v>0</v>
      </c>
      <c r="L221" s="2">
        <v>0</v>
      </c>
    </row>
    <row r="222" spans="1:12" ht="17" x14ac:dyDescent="0.2">
      <c r="A222" s="2" t="s">
        <v>12</v>
      </c>
      <c r="B222" s="4" t="s">
        <v>65</v>
      </c>
      <c r="C222" s="4">
        <v>2022</v>
      </c>
      <c r="D222" s="4">
        <v>7</v>
      </c>
      <c r="E222" s="2" t="s">
        <v>74</v>
      </c>
      <c r="F222" s="4" t="s">
        <v>75</v>
      </c>
      <c r="G222" s="7" t="s">
        <v>76</v>
      </c>
      <c r="H222" s="4">
        <v>6</v>
      </c>
      <c r="I222" s="4">
        <v>0</v>
      </c>
      <c r="J222" s="4">
        <v>818</v>
      </c>
      <c r="K222" s="2">
        <v>0</v>
      </c>
      <c r="L222" s="2">
        <v>1E-3</v>
      </c>
    </row>
    <row r="223" spans="1:12" ht="17" x14ac:dyDescent="0.2">
      <c r="A223" s="2" t="s">
        <v>12</v>
      </c>
      <c r="B223" s="4" t="s">
        <v>65</v>
      </c>
      <c r="C223" s="4">
        <v>2022</v>
      </c>
      <c r="D223" s="4">
        <v>7</v>
      </c>
      <c r="E223" s="2" t="s">
        <v>51</v>
      </c>
      <c r="F223" s="4" t="s">
        <v>52</v>
      </c>
      <c r="G223" s="7" t="s">
        <v>53</v>
      </c>
      <c r="H223" s="4">
        <v>5</v>
      </c>
      <c r="I223" s="4">
        <v>11</v>
      </c>
      <c r="J223" s="4">
        <v>320</v>
      </c>
      <c r="K223" s="2">
        <v>282481</v>
      </c>
      <c r="L223" s="2">
        <v>0.28299999999999997</v>
      </c>
    </row>
    <row r="224" spans="1:12" ht="17" x14ac:dyDescent="0.2">
      <c r="A224" s="2" t="s">
        <v>12</v>
      </c>
      <c r="B224" s="4" t="s">
        <v>65</v>
      </c>
      <c r="C224" s="4">
        <v>2022</v>
      </c>
      <c r="D224" s="4">
        <v>7</v>
      </c>
      <c r="E224" s="2" t="s">
        <v>45</v>
      </c>
      <c r="F224" s="4" t="s">
        <v>46</v>
      </c>
      <c r="G224" s="7" t="s">
        <v>47</v>
      </c>
      <c r="H224" s="4">
        <v>18</v>
      </c>
      <c r="I224" s="4">
        <v>1</v>
      </c>
      <c r="J224" s="4">
        <v>20427</v>
      </c>
      <c r="K224" s="2">
        <v>114</v>
      </c>
      <c r="L224" s="2">
        <v>2.1000000000000001E-2</v>
      </c>
    </row>
    <row r="225" spans="1:12" ht="17" x14ac:dyDescent="0.2">
      <c r="A225" s="2" t="s">
        <v>12</v>
      </c>
      <c r="B225" s="4" t="s">
        <v>65</v>
      </c>
      <c r="C225" s="4">
        <v>2022</v>
      </c>
      <c r="D225" s="4">
        <v>7</v>
      </c>
      <c r="E225" s="2" t="s">
        <v>48</v>
      </c>
      <c r="F225" s="4" t="s">
        <v>49</v>
      </c>
      <c r="G225" s="7" t="s">
        <v>50</v>
      </c>
      <c r="H225" s="4">
        <v>1</v>
      </c>
      <c r="I225" s="4">
        <v>0</v>
      </c>
      <c r="J225" s="4">
        <v>0</v>
      </c>
      <c r="K225" s="2">
        <v>0</v>
      </c>
      <c r="L225" s="2">
        <v>0</v>
      </c>
    </row>
    <row r="226" spans="1:12" ht="34" x14ac:dyDescent="0.2">
      <c r="A226" s="2" t="s">
        <v>12</v>
      </c>
      <c r="B226" s="4" t="s">
        <v>65</v>
      </c>
      <c r="C226" s="4">
        <v>2022</v>
      </c>
      <c r="D226" s="4">
        <v>7</v>
      </c>
      <c r="E226" s="2" t="s">
        <v>17</v>
      </c>
      <c r="F226" s="4" t="s">
        <v>18</v>
      </c>
      <c r="G226" s="7" t="s">
        <v>19</v>
      </c>
      <c r="H226" s="4">
        <v>34</v>
      </c>
      <c r="I226" s="4">
        <v>0</v>
      </c>
      <c r="J226" s="4">
        <v>5923</v>
      </c>
      <c r="K226" s="2">
        <v>0</v>
      </c>
      <c r="L226" s="2">
        <v>6.0000000000000001E-3</v>
      </c>
    </row>
    <row r="227" spans="1:12" ht="17" x14ac:dyDescent="0.2">
      <c r="A227" s="2" t="s">
        <v>12</v>
      </c>
      <c r="B227" s="4" t="s">
        <v>65</v>
      </c>
      <c r="C227" s="4">
        <v>2022</v>
      </c>
      <c r="D227" s="4">
        <v>7</v>
      </c>
      <c r="E227" s="2" t="s">
        <v>68</v>
      </c>
      <c r="F227" s="4" t="s">
        <v>18</v>
      </c>
      <c r="G227" s="7" t="s">
        <v>69</v>
      </c>
      <c r="H227" s="4">
        <v>11</v>
      </c>
      <c r="I227" s="4">
        <v>0</v>
      </c>
      <c r="J227" s="4">
        <v>613</v>
      </c>
      <c r="K227" s="2">
        <v>0</v>
      </c>
      <c r="L227" s="2">
        <v>1E-3</v>
      </c>
    </row>
    <row r="228" spans="1:12" ht="17" x14ac:dyDescent="0.2">
      <c r="A228" s="2" t="s">
        <v>12</v>
      </c>
      <c r="B228" s="4" t="s">
        <v>65</v>
      </c>
      <c r="C228" s="4">
        <v>2022</v>
      </c>
      <c r="D228" s="4">
        <v>7</v>
      </c>
      <c r="E228" s="2" t="s">
        <v>73</v>
      </c>
      <c r="F228" s="4" t="s">
        <v>29</v>
      </c>
      <c r="G228" s="7" t="s">
        <v>30</v>
      </c>
      <c r="H228" s="4">
        <v>1254</v>
      </c>
      <c r="I228" s="4">
        <v>1</v>
      </c>
      <c r="J228" s="4">
        <v>3257340</v>
      </c>
      <c r="K228" s="2">
        <v>544020</v>
      </c>
      <c r="L228" s="2">
        <v>3.8010000000000002</v>
      </c>
    </row>
    <row r="229" spans="1:12" ht="34" x14ac:dyDescent="0.2">
      <c r="A229" s="2" t="s">
        <v>12</v>
      </c>
      <c r="B229" s="4" t="s">
        <v>65</v>
      </c>
      <c r="C229" s="4">
        <v>2022</v>
      </c>
      <c r="D229" s="4">
        <v>7</v>
      </c>
      <c r="E229" s="2" t="s">
        <v>61</v>
      </c>
      <c r="F229" s="4" t="s">
        <v>26</v>
      </c>
      <c r="G229" s="7" t="s">
        <v>62</v>
      </c>
      <c r="H229" s="4">
        <v>5</v>
      </c>
      <c r="I229" s="4">
        <v>0</v>
      </c>
      <c r="J229" s="4">
        <v>2818</v>
      </c>
      <c r="K229" s="2">
        <v>0</v>
      </c>
      <c r="L229" s="2">
        <v>3.0000000000000001E-3</v>
      </c>
    </row>
    <row r="230" spans="1:12" ht="34" x14ac:dyDescent="0.2">
      <c r="A230" s="2" t="s">
        <v>12</v>
      </c>
      <c r="B230" s="4" t="s">
        <v>65</v>
      </c>
      <c r="C230" s="4">
        <v>2022</v>
      </c>
      <c r="D230" s="4">
        <v>7</v>
      </c>
      <c r="E230" s="2" t="s">
        <v>25</v>
      </c>
      <c r="F230" s="4" t="s">
        <v>26</v>
      </c>
      <c r="G230" s="7" t="s">
        <v>27</v>
      </c>
      <c r="H230" s="4">
        <v>7</v>
      </c>
      <c r="I230" s="4">
        <v>1</v>
      </c>
      <c r="J230" s="4">
        <v>14179</v>
      </c>
      <c r="K230" s="2">
        <v>360580</v>
      </c>
      <c r="L230" s="2">
        <v>0.375</v>
      </c>
    </row>
    <row r="231" spans="1:12" ht="17" x14ac:dyDescent="0.2">
      <c r="A231" s="2" t="s">
        <v>12</v>
      </c>
      <c r="B231" s="4" t="s">
        <v>65</v>
      </c>
      <c r="C231" s="4">
        <v>2022</v>
      </c>
      <c r="D231" s="4">
        <v>7</v>
      </c>
      <c r="E231" s="2" t="s">
        <v>28</v>
      </c>
      <c r="F231" s="4" t="s">
        <v>29</v>
      </c>
      <c r="G231" s="7" t="s">
        <v>30</v>
      </c>
      <c r="H231" s="4">
        <v>535</v>
      </c>
      <c r="I231" s="4">
        <v>2</v>
      </c>
      <c r="J231" s="4">
        <v>2170000</v>
      </c>
      <c r="K231" s="2">
        <v>1020000</v>
      </c>
      <c r="L231" s="2">
        <v>3.19</v>
      </c>
    </row>
    <row r="232" spans="1:12" ht="34" x14ac:dyDescent="0.2">
      <c r="A232" s="2" t="s">
        <v>12</v>
      </c>
      <c r="B232" s="4" t="s">
        <v>65</v>
      </c>
      <c r="C232" s="4">
        <v>2022</v>
      </c>
      <c r="D232" s="4">
        <v>7</v>
      </c>
      <c r="E232" s="2" t="s">
        <v>70</v>
      </c>
      <c r="F232" s="4" t="s">
        <v>71</v>
      </c>
      <c r="G232" s="7" t="s">
        <v>72</v>
      </c>
      <c r="H232" s="4">
        <v>1</v>
      </c>
      <c r="I232" s="4">
        <v>0</v>
      </c>
      <c r="J232" s="4">
        <v>472</v>
      </c>
      <c r="K232" s="2">
        <v>0</v>
      </c>
      <c r="L232" s="2">
        <v>0</v>
      </c>
    </row>
    <row r="233" spans="1:12" ht="17" x14ac:dyDescent="0.2">
      <c r="A233" s="2" t="s">
        <v>12</v>
      </c>
      <c r="B233" s="4" t="s">
        <v>65</v>
      </c>
      <c r="C233" s="4">
        <v>2022</v>
      </c>
      <c r="D233" s="4">
        <v>7</v>
      </c>
      <c r="E233" s="2" t="s">
        <v>60</v>
      </c>
      <c r="F233" s="4" t="s">
        <v>29</v>
      </c>
      <c r="G233" s="7" t="s">
        <v>30</v>
      </c>
      <c r="H233" s="4">
        <v>982</v>
      </c>
      <c r="I233" s="4">
        <v>1</v>
      </c>
      <c r="J233" s="4">
        <v>1625587</v>
      </c>
      <c r="K233" s="2">
        <v>267930</v>
      </c>
      <c r="L233" s="2">
        <v>1.8939999999999999</v>
      </c>
    </row>
    <row r="234" spans="1:12" ht="17" x14ac:dyDescent="0.2">
      <c r="A234" s="2" t="s">
        <v>12</v>
      </c>
      <c r="B234" s="4" t="s">
        <v>65</v>
      </c>
      <c r="C234" s="4">
        <v>2022</v>
      </c>
      <c r="D234" s="4">
        <v>7</v>
      </c>
      <c r="E234" s="2" t="s">
        <v>81</v>
      </c>
      <c r="F234" s="4" t="s">
        <v>82</v>
      </c>
      <c r="G234" s="7" t="s">
        <v>83</v>
      </c>
      <c r="H234" s="4">
        <v>0</v>
      </c>
      <c r="I234" s="4">
        <v>0</v>
      </c>
      <c r="J234" s="4">
        <v>0</v>
      </c>
      <c r="K234" s="2">
        <v>0</v>
      </c>
      <c r="L234" s="2">
        <v>0</v>
      </c>
    </row>
    <row r="235" spans="1:12" ht="17" x14ac:dyDescent="0.2">
      <c r="A235" s="2" t="s">
        <v>12</v>
      </c>
      <c r="B235" s="4" t="s">
        <v>65</v>
      </c>
      <c r="C235" s="4">
        <v>2022</v>
      </c>
      <c r="D235" s="4">
        <v>7</v>
      </c>
      <c r="E235" s="2" t="s">
        <v>79</v>
      </c>
      <c r="F235" s="4" t="s">
        <v>71</v>
      </c>
      <c r="G235" s="7" t="s">
        <v>80</v>
      </c>
      <c r="H235" s="4">
        <v>22</v>
      </c>
      <c r="I235" s="4">
        <v>1</v>
      </c>
      <c r="J235" s="4">
        <v>10911</v>
      </c>
      <c r="K235" s="2">
        <v>270</v>
      </c>
      <c r="L235" s="2">
        <v>1.0999999999999999E-2</v>
      </c>
    </row>
    <row r="236" spans="1:12" ht="17" x14ac:dyDescent="0.2">
      <c r="A236" s="2" t="s">
        <v>12</v>
      </c>
      <c r="B236" s="4" t="s">
        <v>13</v>
      </c>
      <c r="C236" s="4">
        <v>2023</v>
      </c>
      <c r="D236" s="4">
        <v>7</v>
      </c>
      <c r="E236" s="2" t="s">
        <v>38</v>
      </c>
      <c r="F236" s="4" t="s">
        <v>21</v>
      </c>
      <c r="G236" s="7" t="s">
        <v>22</v>
      </c>
      <c r="L236" s="2">
        <v>0</v>
      </c>
    </row>
    <row r="237" spans="1:12" ht="34" x14ac:dyDescent="0.2">
      <c r="A237" s="2" t="s">
        <v>12</v>
      </c>
      <c r="B237" s="4" t="s">
        <v>13</v>
      </c>
      <c r="C237" s="4">
        <v>2023</v>
      </c>
      <c r="D237" s="4">
        <v>7</v>
      </c>
      <c r="E237" s="2" t="s">
        <v>25</v>
      </c>
      <c r="F237" s="4" t="s">
        <v>26</v>
      </c>
      <c r="G237" s="7" t="s">
        <v>27</v>
      </c>
      <c r="H237" s="4">
        <v>49</v>
      </c>
      <c r="I237" s="4">
        <v>12</v>
      </c>
      <c r="J237" s="4">
        <v>35789</v>
      </c>
      <c r="K237" s="2">
        <v>1390120</v>
      </c>
      <c r="L237" s="2">
        <v>1.4259999999999999</v>
      </c>
    </row>
    <row r="238" spans="1:12" ht="17" x14ac:dyDescent="0.2">
      <c r="A238" s="2" t="s">
        <v>12</v>
      </c>
      <c r="B238" s="4" t="s">
        <v>13</v>
      </c>
      <c r="C238" s="4">
        <v>2023</v>
      </c>
      <c r="D238" s="4">
        <v>7</v>
      </c>
      <c r="E238" s="2" t="s">
        <v>20</v>
      </c>
      <c r="F238" s="4" t="s">
        <v>21</v>
      </c>
      <c r="G238" s="7" t="s">
        <v>22</v>
      </c>
      <c r="H238" s="4">
        <v>181</v>
      </c>
      <c r="I238" s="4">
        <v>0</v>
      </c>
      <c r="J238" s="4">
        <v>16132</v>
      </c>
      <c r="K238" s="2">
        <v>0</v>
      </c>
      <c r="L238" s="2">
        <v>1.6E-2</v>
      </c>
    </row>
    <row r="239" spans="1:12" ht="34" x14ac:dyDescent="0.2">
      <c r="A239" s="2" t="s">
        <v>12</v>
      </c>
      <c r="B239" s="4" t="s">
        <v>13</v>
      </c>
      <c r="C239" s="4">
        <v>2023</v>
      </c>
      <c r="D239" s="4">
        <v>7</v>
      </c>
      <c r="E239" s="2" t="s">
        <v>70</v>
      </c>
      <c r="F239" s="4" t="s">
        <v>71</v>
      </c>
      <c r="G239" s="7" t="s">
        <v>72</v>
      </c>
      <c r="H239" s="4">
        <v>33</v>
      </c>
      <c r="I239" s="4">
        <v>0</v>
      </c>
      <c r="J239" s="4">
        <v>10691</v>
      </c>
      <c r="K239" s="2">
        <v>0</v>
      </c>
      <c r="L239" s="2">
        <v>1.0999999999999999E-2</v>
      </c>
    </row>
    <row r="240" spans="1:12" ht="17" x14ac:dyDescent="0.2">
      <c r="A240" s="2" t="s">
        <v>12</v>
      </c>
      <c r="B240" s="4" t="s">
        <v>13</v>
      </c>
      <c r="C240" s="4">
        <v>2023</v>
      </c>
      <c r="D240" s="4">
        <v>7</v>
      </c>
      <c r="E240" s="2" t="s">
        <v>81</v>
      </c>
      <c r="F240" s="4" t="s">
        <v>82</v>
      </c>
      <c r="G240" s="7" t="s">
        <v>83</v>
      </c>
      <c r="H240" s="4">
        <v>3</v>
      </c>
      <c r="I240" s="4">
        <v>0</v>
      </c>
      <c r="J240" s="4">
        <v>960</v>
      </c>
      <c r="K240" s="2">
        <v>0</v>
      </c>
      <c r="L240" s="2">
        <v>1E-3</v>
      </c>
    </row>
    <row r="241" spans="1:12" ht="17" x14ac:dyDescent="0.2">
      <c r="A241" s="2" t="s">
        <v>12</v>
      </c>
      <c r="B241" s="4" t="s">
        <v>13</v>
      </c>
      <c r="C241" s="4">
        <v>2023</v>
      </c>
      <c r="D241" s="4">
        <v>7</v>
      </c>
      <c r="E241" s="2" t="s">
        <v>28</v>
      </c>
      <c r="F241" s="4" t="s">
        <v>29</v>
      </c>
      <c r="G241" s="7" t="s">
        <v>30</v>
      </c>
      <c r="H241" s="4">
        <v>639</v>
      </c>
      <c r="I241" s="4">
        <v>2</v>
      </c>
      <c r="J241" s="4">
        <v>2710000</v>
      </c>
      <c r="K241" s="2">
        <v>1630000</v>
      </c>
      <c r="L241" s="2">
        <v>4.34</v>
      </c>
    </row>
    <row r="242" spans="1:12" ht="17" x14ac:dyDescent="0.2">
      <c r="A242" s="2" t="s">
        <v>12</v>
      </c>
      <c r="B242" s="4" t="s">
        <v>13</v>
      </c>
      <c r="C242" s="4">
        <v>2023</v>
      </c>
      <c r="D242" s="4">
        <v>7</v>
      </c>
      <c r="E242" s="2" t="s">
        <v>60</v>
      </c>
      <c r="F242" s="4" t="s">
        <v>29</v>
      </c>
      <c r="G242" s="7" t="s">
        <v>30</v>
      </c>
      <c r="H242" s="4">
        <v>1134</v>
      </c>
      <c r="I242" s="4">
        <v>2</v>
      </c>
      <c r="J242" s="4">
        <v>2137072</v>
      </c>
      <c r="K242" s="2">
        <v>931140</v>
      </c>
      <c r="L242" s="2">
        <v>3.0680000000000001</v>
      </c>
    </row>
    <row r="243" spans="1:12" ht="51" x14ac:dyDescent="0.2">
      <c r="A243" s="2" t="s">
        <v>12</v>
      </c>
      <c r="B243" s="4" t="s">
        <v>13</v>
      </c>
      <c r="C243" s="4">
        <v>2023</v>
      </c>
      <c r="D243" s="4">
        <v>7</v>
      </c>
      <c r="E243" s="2" t="s">
        <v>31</v>
      </c>
      <c r="F243" s="4" t="s">
        <v>32</v>
      </c>
      <c r="G243" s="7" t="s">
        <v>33</v>
      </c>
      <c r="H243" s="4">
        <v>85</v>
      </c>
      <c r="I243" s="4">
        <v>1</v>
      </c>
      <c r="J243" s="4">
        <v>19334</v>
      </c>
      <c r="K243" s="2">
        <v>188904</v>
      </c>
      <c r="L243" s="2">
        <v>0.20799999999999999</v>
      </c>
    </row>
    <row r="244" spans="1:12" ht="17" x14ac:dyDescent="0.2">
      <c r="A244" s="2" t="s">
        <v>12</v>
      </c>
      <c r="B244" s="4" t="s">
        <v>13</v>
      </c>
      <c r="C244" s="4">
        <v>2023</v>
      </c>
      <c r="D244" s="4">
        <v>7</v>
      </c>
      <c r="E244" s="2" t="s">
        <v>42</v>
      </c>
      <c r="F244" s="4" t="s">
        <v>43</v>
      </c>
      <c r="G244" s="7" t="s">
        <v>44</v>
      </c>
      <c r="H244" s="4">
        <v>15</v>
      </c>
      <c r="I244" s="4">
        <v>0</v>
      </c>
      <c r="J244" s="4">
        <v>3683</v>
      </c>
      <c r="K244" s="2">
        <v>0</v>
      </c>
      <c r="L244" s="2">
        <v>4.0000000000000001E-3</v>
      </c>
    </row>
    <row r="245" spans="1:12" ht="34" x14ac:dyDescent="0.2">
      <c r="A245" s="2" t="s">
        <v>12</v>
      </c>
      <c r="B245" s="4" t="s">
        <v>13</v>
      </c>
      <c r="C245" s="4">
        <v>2023</v>
      </c>
      <c r="D245" s="4">
        <v>7</v>
      </c>
      <c r="E245" s="2" t="s">
        <v>17</v>
      </c>
      <c r="F245" s="4" t="s">
        <v>18</v>
      </c>
      <c r="G245" s="7" t="s">
        <v>19</v>
      </c>
      <c r="H245" s="4">
        <v>69</v>
      </c>
      <c r="I245" s="4">
        <v>0</v>
      </c>
      <c r="J245" s="4">
        <v>20033</v>
      </c>
      <c r="K245" s="2">
        <v>0</v>
      </c>
      <c r="L245" s="2">
        <v>0.02</v>
      </c>
    </row>
    <row r="246" spans="1:12" ht="17" x14ac:dyDescent="0.2">
      <c r="A246" s="2" t="s">
        <v>12</v>
      </c>
      <c r="B246" s="4" t="s">
        <v>13</v>
      </c>
      <c r="C246" s="4">
        <v>2023</v>
      </c>
      <c r="D246" s="4">
        <v>7</v>
      </c>
      <c r="E246" s="2" t="s">
        <v>57</v>
      </c>
      <c r="F246" s="4" t="s">
        <v>58</v>
      </c>
      <c r="G246" s="7" t="s">
        <v>59</v>
      </c>
      <c r="H246" s="4">
        <v>42</v>
      </c>
      <c r="I246" s="4">
        <v>31</v>
      </c>
      <c r="J246" s="4">
        <v>223605</v>
      </c>
      <c r="K246" s="2">
        <v>1956709</v>
      </c>
      <c r="L246" s="2">
        <v>2.1800000000000002</v>
      </c>
    </row>
    <row r="247" spans="1:12" ht="17" x14ac:dyDescent="0.2">
      <c r="A247" s="2" t="s">
        <v>12</v>
      </c>
      <c r="B247" s="4" t="s">
        <v>13</v>
      </c>
      <c r="C247" s="4">
        <v>2023</v>
      </c>
      <c r="D247" s="4">
        <v>7</v>
      </c>
      <c r="E247" s="2" t="s">
        <v>51</v>
      </c>
      <c r="F247" s="4" t="s">
        <v>52</v>
      </c>
      <c r="G247" s="7" t="s">
        <v>53</v>
      </c>
      <c r="H247" s="4">
        <v>12</v>
      </c>
      <c r="I247" s="4">
        <v>11</v>
      </c>
      <c r="J247" s="4">
        <v>2487</v>
      </c>
      <c r="K247" s="2">
        <v>250515</v>
      </c>
      <c r="L247" s="2">
        <v>0.253</v>
      </c>
    </row>
    <row r="248" spans="1:12" ht="17" x14ac:dyDescent="0.2">
      <c r="A248" s="2" t="s">
        <v>12</v>
      </c>
      <c r="B248" s="4" t="s">
        <v>13</v>
      </c>
      <c r="C248" s="4">
        <v>2023</v>
      </c>
      <c r="D248" s="4">
        <v>7</v>
      </c>
      <c r="E248" s="2" t="s">
        <v>48</v>
      </c>
      <c r="F248" s="4" t="s">
        <v>49</v>
      </c>
      <c r="G248" s="7" t="s">
        <v>50</v>
      </c>
      <c r="L248" s="2">
        <v>0</v>
      </c>
    </row>
    <row r="249" spans="1:12" ht="17" x14ac:dyDescent="0.2">
      <c r="A249" s="2" t="s">
        <v>12</v>
      </c>
      <c r="B249" s="4" t="s">
        <v>13</v>
      </c>
      <c r="C249" s="4">
        <v>2023</v>
      </c>
      <c r="D249" s="4">
        <v>7</v>
      </c>
      <c r="E249" s="2" t="s">
        <v>54</v>
      </c>
      <c r="F249" s="4" t="s">
        <v>55</v>
      </c>
      <c r="G249" s="7" t="s">
        <v>56</v>
      </c>
      <c r="H249" s="4">
        <v>96</v>
      </c>
      <c r="I249" s="4">
        <v>9</v>
      </c>
      <c r="J249" s="4">
        <v>197710</v>
      </c>
      <c r="K249" s="2">
        <v>19095</v>
      </c>
      <c r="L249" s="2">
        <v>0.217</v>
      </c>
    </row>
    <row r="250" spans="1:12" ht="17" x14ac:dyDescent="0.2">
      <c r="A250" s="2" t="s">
        <v>12</v>
      </c>
      <c r="B250" s="4" t="s">
        <v>13</v>
      </c>
      <c r="C250" s="4">
        <v>2023</v>
      </c>
      <c r="D250" s="4">
        <v>7</v>
      </c>
      <c r="E250" s="2" t="s">
        <v>77</v>
      </c>
      <c r="F250" s="4" t="s">
        <v>15</v>
      </c>
      <c r="G250" s="7" t="s">
        <v>78</v>
      </c>
      <c r="H250" s="4">
        <v>21</v>
      </c>
      <c r="I250" s="4">
        <v>3</v>
      </c>
      <c r="J250" s="4">
        <v>10112</v>
      </c>
      <c r="K250" s="2">
        <v>197518</v>
      </c>
      <c r="L250" s="2">
        <v>0.20799999999999999</v>
      </c>
    </row>
    <row r="251" spans="1:12" ht="17" x14ac:dyDescent="0.2">
      <c r="A251" s="2" t="s">
        <v>12</v>
      </c>
      <c r="B251" s="4" t="s">
        <v>13</v>
      </c>
      <c r="C251" s="4">
        <v>2023</v>
      </c>
      <c r="D251" s="4">
        <v>7</v>
      </c>
      <c r="E251" s="2" t="s">
        <v>63</v>
      </c>
      <c r="F251" s="4" t="s">
        <v>26</v>
      </c>
      <c r="G251" s="7" t="s">
        <v>64</v>
      </c>
      <c r="H251" s="4">
        <v>22</v>
      </c>
      <c r="I251" s="4">
        <v>6</v>
      </c>
      <c r="J251" s="4">
        <v>11138</v>
      </c>
      <c r="K251" s="2">
        <v>1745105</v>
      </c>
      <c r="L251" s="2">
        <v>1.756</v>
      </c>
    </row>
    <row r="252" spans="1:12" ht="17" x14ac:dyDescent="0.2">
      <c r="A252" s="2" t="s">
        <v>12</v>
      </c>
      <c r="B252" s="4" t="s">
        <v>65</v>
      </c>
      <c r="C252" s="4">
        <v>2022</v>
      </c>
      <c r="D252" s="4">
        <v>9</v>
      </c>
      <c r="E252" s="2" t="s">
        <v>42</v>
      </c>
      <c r="F252" s="4" t="s">
        <v>43</v>
      </c>
      <c r="G252" s="7" t="s">
        <v>100</v>
      </c>
      <c r="H252" s="4">
        <v>3</v>
      </c>
      <c r="I252" s="4">
        <v>0</v>
      </c>
      <c r="J252" s="4">
        <v>84</v>
      </c>
      <c r="K252" s="2">
        <v>0</v>
      </c>
      <c r="L252" s="2">
        <v>0</v>
      </c>
    </row>
    <row r="253" spans="1:12" ht="17" x14ac:dyDescent="0.2">
      <c r="A253" s="2" t="s">
        <v>12</v>
      </c>
      <c r="B253" s="4" t="s">
        <v>13</v>
      </c>
      <c r="C253" s="4">
        <v>2023</v>
      </c>
      <c r="D253" s="4">
        <v>7</v>
      </c>
      <c r="E253" s="2" t="s">
        <v>68</v>
      </c>
      <c r="F253" s="4" t="s">
        <v>18</v>
      </c>
      <c r="G253" s="7" t="s">
        <v>69</v>
      </c>
      <c r="H253" s="4">
        <v>28</v>
      </c>
      <c r="I253" s="4">
        <v>8</v>
      </c>
      <c r="J253" s="4">
        <v>9477</v>
      </c>
      <c r="K253" s="2">
        <v>859817</v>
      </c>
      <c r="L253" s="2">
        <v>0.86899999999999999</v>
      </c>
    </row>
    <row r="254" spans="1:12" ht="17" x14ac:dyDescent="0.2">
      <c r="A254" s="2" t="s">
        <v>12</v>
      </c>
      <c r="B254" s="4" t="s">
        <v>13</v>
      </c>
      <c r="C254" s="4">
        <v>2023</v>
      </c>
      <c r="D254" s="4">
        <v>7</v>
      </c>
      <c r="E254" s="2" t="s">
        <v>74</v>
      </c>
      <c r="F254" s="4" t="s">
        <v>75</v>
      </c>
      <c r="G254" s="7" t="s">
        <v>89</v>
      </c>
      <c r="H254" s="4">
        <v>14</v>
      </c>
      <c r="I254" s="4">
        <v>0</v>
      </c>
      <c r="J254" s="4">
        <v>12912</v>
      </c>
      <c r="K254" s="2">
        <v>0</v>
      </c>
      <c r="L254" s="2">
        <v>1.2999999999999999E-2</v>
      </c>
    </row>
    <row r="255" spans="1:12" ht="17" x14ac:dyDescent="0.2">
      <c r="A255" s="2" t="s">
        <v>12</v>
      </c>
      <c r="B255" s="4" t="s">
        <v>13</v>
      </c>
      <c r="C255" s="4">
        <v>2023</v>
      </c>
      <c r="D255" s="4">
        <v>7</v>
      </c>
      <c r="E255" s="2" t="s">
        <v>36</v>
      </c>
      <c r="F255" s="4" t="s">
        <v>15</v>
      </c>
      <c r="G255" s="7" t="s">
        <v>37</v>
      </c>
      <c r="H255" s="4">
        <v>67</v>
      </c>
      <c r="I255" s="4">
        <v>2</v>
      </c>
      <c r="J255" s="4">
        <v>17449</v>
      </c>
      <c r="K255" s="2">
        <v>108312</v>
      </c>
      <c r="L255" s="2">
        <v>0.126</v>
      </c>
    </row>
    <row r="256" spans="1:12" ht="17" x14ac:dyDescent="0.2">
      <c r="A256" s="2" t="s">
        <v>12</v>
      </c>
      <c r="B256" s="4" t="s">
        <v>13</v>
      </c>
      <c r="C256" s="4">
        <v>2023</v>
      </c>
      <c r="D256" s="4">
        <v>7</v>
      </c>
      <c r="F256" s="4" t="s">
        <v>94</v>
      </c>
      <c r="G256" s="7" t="s">
        <v>95</v>
      </c>
      <c r="H256" s="4">
        <v>18</v>
      </c>
      <c r="I256" s="4">
        <v>6</v>
      </c>
      <c r="J256" s="4">
        <v>39676</v>
      </c>
      <c r="K256" s="2">
        <v>538664</v>
      </c>
      <c r="L256" s="2">
        <v>0.57799999999999996</v>
      </c>
    </row>
    <row r="257" spans="1:12" ht="17" x14ac:dyDescent="0.2">
      <c r="A257" s="2" t="s">
        <v>12</v>
      </c>
      <c r="B257" s="4" t="s">
        <v>13</v>
      </c>
      <c r="C257" s="4">
        <v>2023</v>
      </c>
      <c r="D257" s="4">
        <v>7</v>
      </c>
      <c r="E257" s="2" t="s">
        <v>34</v>
      </c>
      <c r="F257" s="4" t="s">
        <v>26</v>
      </c>
      <c r="G257" s="7" t="s">
        <v>35</v>
      </c>
      <c r="H257" s="4">
        <v>25</v>
      </c>
      <c r="I257" s="4">
        <v>3</v>
      </c>
      <c r="J257" s="4">
        <v>22132</v>
      </c>
      <c r="K257" s="2">
        <v>451922</v>
      </c>
      <c r="L257" s="2">
        <v>0.47399999999999998</v>
      </c>
    </row>
    <row r="258" spans="1:12" ht="17" x14ac:dyDescent="0.2">
      <c r="A258" s="2" t="s">
        <v>12</v>
      </c>
      <c r="B258" s="4" t="s">
        <v>13</v>
      </c>
      <c r="C258" s="4">
        <v>2023</v>
      </c>
      <c r="D258" s="4">
        <v>7</v>
      </c>
      <c r="E258" s="2" t="s">
        <v>14</v>
      </c>
      <c r="F258" s="4" t="s">
        <v>15</v>
      </c>
      <c r="G258" s="7" t="s">
        <v>16</v>
      </c>
      <c r="H258" s="4">
        <v>12</v>
      </c>
      <c r="I258" s="4">
        <v>2</v>
      </c>
      <c r="J258" s="4">
        <v>6857</v>
      </c>
      <c r="K258" s="2">
        <v>177</v>
      </c>
      <c r="L258" s="2">
        <v>7.0000000000000001E-3</v>
      </c>
    </row>
    <row r="259" spans="1:12" ht="17" x14ac:dyDescent="0.2">
      <c r="A259" s="2" t="s">
        <v>12</v>
      </c>
      <c r="B259" s="4" t="s">
        <v>13</v>
      </c>
      <c r="C259" s="4">
        <v>2023</v>
      </c>
      <c r="D259" s="4">
        <v>7</v>
      </c>
      <c r="E259" s="2" t="s">
        <v>87</v>
      </c>
      <c r="F259" s="4" t="s">
        <v>85</v>
      </c>
      <c r="G259" s="7" t="s">
        <v>88</v>
      </c>
      <c r="H259" s="4">
        <v>29</v>
      </c>
      <c r="I259" s="4">
        <v>0</v>
      </c>
      <c r="J259" s="4">
        <v>13269</v>
      </c>
      <c r="K259" s="2">
        <v>0</v>
      </c>
      <c r="L259" s="2">
        <v>1.2999999999999999E-2</v>
      </c>
    </row>
    <row r="260" spans="1:12" ht="17" x14ac:dyDescent="0.2">
      <c r="A260" s="2" t="s">
        <v>12</v>
      </c>
      <c r="B260" s="4" t="s">
        <v>13</v>
      </c>
      <c r="C260" s="4">
        <v>2023</v>
      </c>
      <c r="D260" s="4">
        <v>7</v>
      </c>
      <c r="E260" s="2" t="s">
        <v>92</v>
      </c>
      <c r="F260" s="4" t="s">
        <v>75</v>
      </c>
      <c r="G260" s="7" t="s">
        <v>93</v>
      </c>
      <c r="H260" s="4">
        <v>69</v>
      </c>
      <c r="I260" s="4">
        <v>0</v>
      </c>
      <c r="J260" s="4">
        <v>1103863</v>
      </c>
      <c r="K260" s="2">
        <v>0</v>
      </c>
      <c r="L260" s="2">
        <v>1.1040000000000001</v>
      </c>
    </row>
    <row r="261" spans="1:12" ht="17" x14ac:dyDescent="0.2">
      <c r="A261" s="2" t="s">
        <v>12</v>
      </c>
      <c r="B261" s="4" t="s">
        <v>13</v>
      </c>
      <c r="C261" s="4">
        <v>2023</v>
      </c>
      <c r="D261" s="4">
        <v>7</v>
      </c>
      <c r="E261" s="2" t="s">
        <v>84</v>
      </c>
      <c r="F261" s="4" t="s">
        <v>85</v>
      </c>
      <c r="G261" s="7" t="s">
        <v>86</v>
      </c>
      <c r="L261" s="2">
        <v>0</v>
      </c>
    </row>
    <row r="262" spans="1:12" ht="17" x14ac:dyDescent="0.2">
      <c r="A262" s="2" t="s">
        <v>12</v>
      </c>
      <c r="B262" s="4" t="s">
        <v>13</v>
      </c>
      <c r="C262" s="4">
        <v>2023</v>
      </c>
      <c r="D262" s="4">
        <v>7</v>
      </c>
      <c r="E262" s="2" t="s">
        <v>39</v>
      </c>
      <c r="F262" s="4" t="s">
        <v>40</v>
      </c>
      <c r="G262" s="7" t="s">
        <v>41</v>
      </c>
      <c r="L262" s="2">
        <v>0</v>
      </c>
    </row>
    <row r="263" spans="1:12" ht="17" x14ac:dyDescent="0.2">
      <c r="A263" s="2" t="s">
        <v>12</v>
      </c>
      <c r="B263" s="4" t="s">
        <v>13</v>
      </c>
      <c r="C263" s="4">
        <v>2023</v>
      </c>
      <c r="D263" s="4">
        <v>7</v>
      </c>
      <c r="E263" s="2" t="s">
        <v>23</v>
      </c>
      <c r="F263" s="4" t="s">
        <v>15</v>
      </c>
      <c r="G263" s="7" t="s">
        <v>24</v>
      </c>
      <c r="L263" s="2">
        <v>0</v>
      </c>
    </row>
    <row r="264" spans="1:12" ht="17" x14ac:dyDescent="0.2">
      <c r="A264" s="2" t="s">
        <v>12</v>
      </c>
      <c r="B264" s="4" t="s">
        <v>13</v>
      </c>
      <c r="C264" s="4">
        <v>2023</v>
      </c>
      <c r="D264" s="4">
        <v>7</v>
      </c>
      <c r="E264" s="2" t="s">
        <v>66</v>
      </c>
      <c r="F264" s="4" t="s">
        <v>58</v>
      </c>
      <c r="G264" s="7" t="s">
        <v>67</v>
      </c>
      <c r="H264" s="4">
        <v>2782</v>
      </c>
      <c r="I264" s="4">
        <v>17</v>
      </c>
      <c r="J264" s="4">
        <v>426242</v>
      </c>
      <c r="K264" s="2">
        <v>14014717</v>
      </c>
      <c r="L264" s="2">
        <v>14.441000000000001</v>
      </c>
    </row>
    <row r="265" spans="1:12" ht="17" x14ac:dyDescent="0.2">
      <c r="A265" s="2" t="s">
        <v>12</v>
      </c>
      <c r="B265" s="4" t="s">
        <v>13</v>
      </c>
      <c r="C265" s="4">
        <v>2023</v>
      </c>
      <c r="D265" s="4">
        <v>7</v>
      </c>
      <c r="E265" s="2" t="s">
        <v>45</v>
      </c>
      <c r="F265" s="4" t="s">
        <v>46</v>
      </c>
      <c r="G265" s="7" t="s">
        <v>47</v>
      </c>
      <c r="H265" s="4">
        <v>273</v>
      </c>
      <c r="I265" s="4">
        <v>4</v>
      </c>
      <c r="J265" s="4">
        <v>147676</v>
      </c>
      <c r="K265" s="2">
        <v>30528</v>
      </c>
      <c r="L265" s="2">
        <v>0.17799999999999999</v>
      </c>
    </row>
    <row r="266" spans="1:12" ht="17" x14ac:dyDescent="0.2">
      <c r="A266" s="2" t="s">
        <v>12</v>
      </c>
      <c r="B266" s="4" t="s">
        <v>13</v>
      </c>
      <c r="C266" s="4">
        <v>2023</v>
      </c>
      <c r="D266" s="4">
        <v>7</v>
      </c>
      <c r="E266" s="2" t="s">
        <v>73</v>
      </c>
      <c r="F266" s="4" t="s">
        <v>29</v>
      </c>
      <c r="G266" s="7" t="s">
        <v>30</v>
      </c>
      <c r="H266" s="4">
        <v>1802</v>
      </c>
      <c r="I266" s="4">
        <v>3</v>
      </c>
      <c r="J266" s="4">
        <v>4909430</v>
      </c>
      <c r="K266" s="2">
        <v>1566780</v>
      </c>
      <c r="L266" s="2">
        <v>6.476</v>
      </c>
    </row>
    <row r="267" spans="1:12" ht="34" x14ac:dyDescent="0.2">
      <c r="A267" s="2" t="s">
        <v>12</v>
      </c>
      <c r="B267" s="4" t="s">
        <v>13</v>
      </c>
      <c r="C267" s="4">
        <v>2023</v>
      </c>
      <c r="D267" s="4">
        <v>7</v>
      </c>
      <c r="E267" s="2" t="s">
        <v>61</v>
      </c>
      <c r="F267" s="4" t="s">
        <v>26</v>
      </c>
      <c r="G267" s="7" t="s">
        <v>62</v>
      </c>
      <c r="H267" s="4">
        <v>27</v>
      </c>
      <c r="I267" s="4">
        <v>0</v>
      </c>
      <c r="J267" s="4">
        <v>14804</v>
      </c>
      <c r="K267" s="2">
        <v>0</v>
      </c>
      <c r="L267" s="2">
        <v>1.4999999999999999E-2</v>
      </c>
    </row>
    <row r="268" spans="1:12" ht="17" x14ac:dyDescent="0.2">
      <c r="A268" s="2" t="s">
        <v>12</v>
      </c>
      <c r="B268" s="4" t="s">
        <v>13</v>
      </c>
      <c r="C268" s="4">
        <v>2023</v>
      </c>
      <c r="D268" s="4">
        <v>7</v>
      </c>
      <c r="E268" s="2" t="s">
        <v>79</v>
      </c>
      <c r="F268" s="4" t="s">
        <v>71</v>
      </c>
      <c r="G268" s="7" t="s">
        <v>80</v>
      </c>
      <c r="H268" s="4">
        <v>91</v>
      </c>
      <c r="I268" s="4">
        <v>9</v>
      </c>
      <c r="J268" s="4">
        <v>69000</v>
      </c>
      <c r="K268" s="2">
        <v>254000</v>
      </c>
      <c r="L268" s="2">
        <v>0.32300000000000001</v>
      </c>
    </row>
    <row r="269" spans="1:12" ht="17" x14ac:dyDescent="0.2">
      <c r="A269" s="2" t="s">
        <v>12</v>
      </c>
      <c r="B269" s="4" t="s">
        <v>65</v>
      </c>
      <c r="C269" s="4">
        <v>2022</v>
      </c>
      <c r="D269" s="4">
        <v>6</v>
      </c>
      <c r="E269" s="2" t="s">
        <v>66</v>
      </c>
      <c r="F269" s="4" t="s">
        <v>58</v>
      </c>
      <c r="G269" s="7" t="s">
        <v>67</v>
      </c>
      <c r="H269" s="4">
        <v>48</v>
      </c>
      <c r="I269" s="4">
        <v>4</v>
      </c>
      <c r="J269" s="4">
        <v>1786</v>
      </c>
      <c r="K269" s="2">
        <v>938444</v>
      </c>
      <c r="L269" s="2">
        <v>0.94</v>
      </c>
    </row>
    <row r="270" spans="1:12" ht="17" x14ac:dyDescent="0.2">
      <c r="A270" s="2" t="s">
        <v>12</v>
      </c>
      <c r="B270" s="4" t="s">
        <v>65</v>
      </c>
      <c r="C270" s="4">
        <v>2022</v>
      </c>
      <c r="D270" s="4">
        <v>6</v>
      </c>
      <c r="E270" s="2" t="s">
        <v>81</v>
      </c>
      <c r="F270" s="4" t="s">
        <v>82</v>
      </c>
      <c r="G270" s="7" t="s">
        <v>83</v>
      </c>
      <c r="H270" s="4">
        <v>0</v>
      </c>
      <c r="I270" s="4">
        <v>0</v>
      </c>
      <c r="J270" s="4">
        <v>0</v>
      </c>
      <c r="K270" s="2">
        <v>0</v>
      </c>
      <c r="L270" s="2">
        <v>0</v>
      </c>
    </row>
    <row r="271" spans="1:12" ht="34" x14ac:dyDescent="0.2">
      <c r="A271" s="2" t="s">
        <v>12</v>
      </c>
      <c r="B271" s="4" t="s">
        <v>65</v>
      </c>
      <c r="C271" s="4">
        <v>2022</v>
      </c>
      <c r="D271" s="4">
        <v>6</v>
      </c>
      <c r="E271" s="2" t="s">
        <v>61</v>
      </c>
      <c r="F271" s="4" t="s">
        <v>26</v>
      </c>
      <c r="G271" s="7" t="s">
        <v>62</v>
      </c>
      <c r="H271" s="4">
        <v>3</v>
      </c>
      <c r="I271" s="4">
        <v>0</v>
      </c>
      <c r="J271" s="4">
        <v>2264</v>
      </c>
      <c r="K271" s="2">
        <v>0</v>
      </c>
      <c r="L271" s="2">
        <v>2E-3</v>
      </c>
    </row>
    <row r="272" spans="1:12" ht="17" x14ac:dyDescent="0.2">
      <c r="A272" s="2" t="s">
        <v>12</v>
      </c>
      <c r="B272" s="4" t="s">
        <v>65</v>
      </c>
      <c r="C272" s="4">
        <v>2022</v>
      </c>
      <c r="D272" s="4">
        <v>6</v>
      </c>
      <c r="E272" s="2" t="s">
        <v>34</v>
      </c>
      <c r="F272" s="4" t="s">
        <v>26</v>
      </c>
      <c r="G272" s="7" t="s">
        <v>35</v>
      </c>
      <c r="H272" s="4">
        <v>3</v>
      </c>
      <c r="I272" s="4">
        <v>1</v>
      </c>
      <c r="J272" s="4">
        <v>3354</v>
      </c>
      <c r="K272" s="2">
        <v>146600</v>
      </c>
      <c r="L272" s="2">
        <v>0.15</v>
      </c>
    </row>
    <row r="273" spans="1:12" ht="17" x14ac:dyDescent="0.2">
      <c r="A273" s="2" t="s">
        <v>12</v>
      </c>
      <c r="B273" s="4" t="s">
        <v>65</v>
      </c>
      <c r="C273" s="4">
        <v>2022</v>
      </c>
      <c r="D273" s="4">
        <v>6</v>
      </c>
      <c r="E273" s="2" t="s">
        <v>68</v>
      </c>
      <c r="F273" s="4" t="s">
        <v>18</v>
      </c>
      <c r="G273" s="7" t="s">
        <v>69</v>
      </c>
      <c r="H273" s="4">
        <v>11</v>
      </c>
      <c r="I273" s="4">
        <v>0</v>
      </c>
      <c r="J273" s="4">
        <v>2095</v>
      </c>
      <c r="K273" s="2">
        <v>0</v>
      </c>
      <c r="L273" s="2">
        <v>2E-3</v>
      </c>
    </row>
    <row r="274" spans="1:12" ht="17" x14ac:dyDescent="0.2">
      <c r="A274" s="2" t="s">
        <v>12</v>
      </c>
      <c r="B274" s="4" t="s">
        <v>65</v>
      </c>
      <c r="C274" s="4">
        <v>2022</v>
      </c>
      <c r="D274" s="4">
        <v>6</v>
      </c>
      <c r="E274" s="2" t="s">
        <v>51</v>
      </c>
      <c r="F274" s="4" t="s">
        <v>52</v>
      </c>
      <c r="G274" s="7" t="s">
        <v>53</v>
      </c>
      <c r="H274" s="4">
        <v>5</v>
      </c>
      <c r="I274" s="4">
        <v>11</v>
      </c>
      <c r="J274" s="4">
        <v>330</v>
      </c>
      <c r="K274" s="2">
        <v>278302</v>
      </c>
      <c r="L274" s="2">
        <v>0.27900000000000003</v>
      </c>
    </row>
    <row r="275" spans="1:12" ht="17" x14ac:dyDescent="0.2">
      <c r="A275" s="2" t="s">
        <v>12</v>
      </c>
      <c r="B275" s="4" t="s">
        <v>65</v>
      </c>
      <c r="C275" s="4">
        <v>2022</v>
      </c>
      <c r="D275" s="4">
        <v>6</v>
      </c>
      <c r="E275" s="2" t="s">
        <v>77</v>
      </c>
      <c r="F275" s="4" t="s">
        <v>15</v>
      </c>
      <c r="G275" s="7" t="s">
        <v>78</v>
      </c>
      <c r="H275" s="4">
        <v>8</v>
      </c>
      <c r="I275" s="4">
        <v>0</v>
      </c>
      <c r="J275" s="4">
        <v>67</v>
      </c>
      <c r="K275" s="2">
        <v>0</v>
      </c>
      <c r="L275" s="2">
        <v>0</v>
      </c>
    </row>
    <row r="276" spans="1:12" ht="17" x14ac:dyDescent="0.2">
      <c r="A276" s="2" t="s">
        <v>12</v>
      </c>
      <c r="B276" s="4" t="s">
        <v>65</v>
      </c>
      <c r="C276" s="4">
        <v>2022</v>
      </c>
      <c r="D276" s="4">
        <v>6</v>
      </c>
      <c r="E276" s="2" t="s">
        <v>54</v>
      </c>
      <c r="F276" s="4" t="s">
        <v>55</v>
      </c>
      <c r="G276" s="7" t="s">
        <v>56</v>
      </c>
      <c r="H276" s="4">
        <v>11</v>
      </c>
      <c r="I276" s="4">
        <v>2</v>
      </c>
      <c r="J276" s="4">
        <v>24978</v>
      </c>
      <c r="K276" s="2">
        <v>29995</v>
      </c>
      <c r="L276" s="2">
        <v>5.5E-2</v>
      </c>
    </row>
    <row r="277" spans="1:12" ht="17" x14ac:dyDescent="0.2">
      <c r="A277" s="2" t="s">
        <v>12</v>
      </c>
      <c r="B277" s="4" t="s">
        <v>13</v>
      </c>
      <c r="C277" s="4">
        <v>2023</v>
      </c>
      <c r="D277" s="4">
        <v>5</v>
      </c>
      <c r="E277" s="2" t="s">
        <v>42</v>
      </c>
      <c r="F277" s="4" t="s">
        <v>43</v>
      </c>
      <c r="G277" s="7" t="s">
        <v>44</v>
      </c>
      <c r="H277" s="4">
        <v>15</v>
      </c>
      <c r="I277" s="4">
        <v>0</v>
      </c>
      <c r="J277" s="4">
        <v>3432</v>
      </c>
      <c r="K277" s="2">
        <v>0</v>
      </c>
      <c r="L277" s="2">
        <v>3.0000000000000001E-3</v>
      </c>
    </row>
    <row r="278" spans="1:12" ht="17" x14ac:dyDescent="0.2">
      <c r="A278" s="2" t="s">
        <v>12</v>
      </c>
      <c r="B278" s="4" t="s">
        <v>65</v>
      </c>
      <c r="C278" s="4">
        <v>2022</v>
      </c>
      <c r="D278" s="4">
        <v>6</v>
      </c>
      <c r="E278" s="2" t="s">
        <v>48</v>
      </c>
      <c r="F278" s="4" t="s">
        <v>49</v>
      </c>
      <c r="G278" s="7" t="s">
        <v>50</v>
      </c>
      <c r="H278" s="4">
        <v>1</v>
      </c>
      <c r="I278" s="4">
        <v>0</v>
      </c>
      <c r="J278" s="4">
        <v>0</v>
      </c>
      <c r="K278" s="2">
        <v>0</v>
      </c>
      <c r="L278" s="2">
        <v>0</v>
      </c>
    </row>
    <row r="279" spans="1:12" ht="34" x14ac:dyDescent="0.2">
      <c r="A279" s="2" t="s">
        <v>12</v>
      </c>
      <c r="B279" s="4" t="s">
        <v>65</v>
      </c>
      <c r="C279" s="4">
        <v>2022</v>
      </c>
      <c r="D279" s="4">
        <v>6</v>
      </c>
      <c r="E279" s="2" t="s">
        <v>25</v>
      </c>
      <c r="F279" s="4" t="s">
        <v>26</v>
      </c>
      <c r="G279" s="7" t="s">
        <v>27</v>
      </c>
      <c r="H279" s="4">
        <v>7</v>
      </c>
      <c r="I279" s="4">
        <v>1</v>
      </c>
      <c r="J279" s="4">
        <v>14101</v>
      </c>
      <c r="K279" s="2">
        <v>377840</v>
      </c>
      <c r="L279" s="2">
        <v>0.39200000000000002</v>
      </c>
    </row>
    <row r="280" spans="1:12" ht="17" x14ac:dyDescent="0.2">
      <c r="A280" s="2" t="s">
        <v>12</v>
      </c>
      <c r="B280" s="4" t="s">
        <v>65</v>
      </c>
      <c r="C280" s="4">
        <v>2022</v>
      </c>
      <c r="D280" s="4">
        <v>6</v>
      </c>
      <c r="E280" s="2" t="s">
        <v>74</v>
      </c>
      <c r="F280" s="4" t="s">
        <v>75</v>
      </c>
      <c r="G280" s="7" t="s">
        <v>76</v>
      </c>
      <c r="H280" s="4">
        <v>6</v>
      </c>
      <c r="I280" s="4">
        <v>0</v>
      </c>
      <c r="J280" s="4">
        <v>936</v>
      </c>
      <c r="K280" s="2">
        <v>0</v>
      </c>
      <c r="L280" s="2">
        <v>1E-3</v>
      </c>
    </row>
    <row r="281" spans="1:12" ht="17" x14ac:dyDescent="0.2">
      <c r="A281" s="2" t="s">
        <v>12</v>
      </c>
      <c r="B281" s="4" t="s">
        <v>65</v>
      </c>
      <c r="C281" s="4">
        <v>2022</v>
      </c>
      <c r="D281" s="4">
        <v>6</v>
      </c>
      <c r="E281" s="2" t="s">
        <v>28</v>
      </c>
      <c r="F281" s="4" t="s">
        <v>29</v>
      </c>
      <c r="G281" s="7" t="s">
        <v>30</v>
      </c>
      <c r="H281" s="4">
        <v>530</v>
      </c>
      <c r="I281" s="4">
        <v>2</v>
      </c>
      <c r="J281" s="4">
        <v>2160000</v>
      </c>
      <c r="K281" s="2">
        <v>730000</v>
      </c>
      <c r="L281" s="2">
        <v>2.89</v>
      </c>
    </row>
    <row r="282" spans="1:12" ht="17" x14ac:dyDescent="0.2">
      <c r="A282" s="2" t="s">
        <v>12</v>
      </c>
      <c r="B282" s="4" t="s">
        <v>65</v>
      </c>
      <c r="C282" s="4">
        <v>2022</v>
      </c>
      <c r="D282" s="4">
        <v>6</v>
      </c>
      <c r="E282" s="2" t="s">
        <v>73</v>
      </c>
      <c r="F282" s="4" t="s">
        <v>29</v>
      </c>
      <c r="G282" s="7" t="s">
        <v>30</v>
      </c>
      <c r="H282" s="4">
        <v>1208</v>
      </c>
      <c r="I282" s="4">
        <v>1</v>
      </c>
      <c r="J282" s="4">
        <v>2917073</v>
      </c>
      <c r="K282" s="2">
        <v>384120</v>
      </c>
      <c r="L282" s="2">
        <v>3.3010000000000002</v>
      </c>
    </row>
    <row r="283" spans="1:12" ht="34" x14ac:dyDescent="0.2">
      <c r="A283" s="2" t="s">
        <v>12</v>
      </c>
      <c r="B283" s="4" t="s">
        <v>65</v>
      </c>
      <c r="C283" s="4">
        <v>2022</v>
      </c>
      <c r="D283" s="4">
        <v>6</v>
      </c>
      <c r="E283" s="2" t="s">
        <v>70</v>
      </c>
      <c r="F283" s="4" t="s">
        <v>71</v>
      </c>
      <c r="G283" s="7" t="s">
        <v>72</v>
      </c>
      <c r="H283" s="4">
        <v>1</v>
      </c>
      <c r="I283" s="4">
        <v>0</v>
      </c>
      <c r="J283" s="4">
        <v>223</v>
      </c>
      <c r="K283" s="2">
        <v>0</v>
      </c>
      <c r="L283" s="2">
        <v>0</v>
      </c>
    </row>
    <row r="284" spans="1:12" ht="17" x14ac:dyDescent="0.2">
      <c r="A284" s="2" t="s">
        <v>12</v>
      </c>
      <c r="B284" s="4" t="s">
        <v>65</v>
      </c>
      <c r="C284" s="4">
        <v>2022</v>
      </c>
      <c r="D284" s="4">
        <v>6</v>
      </c>
      <c r="E284" s="2" t="s">
        <v>60</v>
      </c>
      <c r="F284" s="4" t="s">
        <v>29</v>
      </c>
      <c r="G284" s="7" t="s">
        <v>30</v>
      </c>
      <c r="H284" s="4">
        <v>982</v>
      </c>
      <c r="I284" s="4">
        <v>1</v>
      </c>
      <c r="J284" s="4">
        <v>1548721</v>
      </c>
      <c r="K284" s="2">
        <v>287880</v>
      </c>
      <c r="L284" s="2">
        <v>1.837</v>
      </c>
    </row>
    <row r="285" spans="1:12" ht="17" x14ac:dyDescent="0.2">
      <c r="A285" s="2" t="s">
        <v>12</v>
      </c>
      <c r="B285" s="4" t="s">
        <v>65</v>
      </c>
      <c r="C285" s="4">
        <v>2022</v>
      </c>
      <c r="D285" s="4">
        <v>6</v>
      </c>
      <c r="E285" s="2" t="s">
        <v>45</v>
      </c>
      <c r="F285" s="4" t="s">
        <v>46</v>
      </c>
      <c r="G285" s="7" t="s">
        <v>47</v>
      </c>
      <c r="H285" s="4">
        <v>18</v>
      </c>
      <c r="I285" s="4">
        <v>1</v>
      </c>
      <c r="J285" s="4">
        <v>26234</v>
      </c>
      <c r="K285" s="2">
        <v>0</v>
      </c>
      <c r="L285" s="2">
        <v>2.5999999999999999E-2</v>
      </c>
    </row>
    <row r="286" spans="1:12" ht="17" x14ac:dyDescent="0.2">
      <c r="A286" s="2" t="s">
        <v>12</v>
      </c>
      <c r="B286" s="4" t="s">
        <v>65</v>
      </c>
      <c r="C286" s="4">
        <v>2022</v>
      </c>
      <c r="D286" s="4">
        <v>6</v>
      </c>
      <c r="E286" s="2" t="s">
        <v>63</v>
      </c>
      <c r="F286" s="4" t="s">
        <v>26</v>
      </c>
      <c r="G286" s="7" t="s">
        <v>64</v>
      </c>
      <c r="H286" s="4">
        <v>8</v>
      </c>
      <c r="I286" s="4">
        <v>4</v>
      </c>
      <c r="J286" s="4">
        <v>18885</v>
      </c>
      <c r="K286" s="2">
        <v>1537800</v>
      </c>
      <c r="L286" s="2">
        <v>1.5569999999999999</v>
      </c>
    </row>
    <row r="287" spans="1:12" ht="17" x14ac:dyDescent="0.2">
      <c r="A287" s="2" t="s">
        <v>12</v>
      </c>
      <c r="B287" s="4" t="s">
        <v>65</v>
      </c>
      <c r="C287" s="4">
        <v>2022</v>
      </c>
      <c r="D287" s="4">
        <v>6</v>
      </c>
      <c r="E287" s="2" t="s">
        <v>79</v>
      </c>
      <c r="F287" s="4" t="s">
        <v>71</v>
      </c>
      <c r="G287" s="7" t="s">
        <v>80</v>
      </c>
      <c r="H287" s="4">
        <v>18</v>
      </c>
      <c r="I287" s="4">
        <v>1</v>
      </c>
      <c r="J287" s="4">
        <v>7383</v>
      </c>
      <c r="K287" s="2">
        <v>73</v>
      </c>
      <c r="L287" s="2">
        <v>7.0000000000000001E-3</v>
      </c>
    </row>
    <row r="288" spans="1:12" ht="34" x14ac:dyDescent="0.2">
      <c r="A288" s="2" t="s">
        <v>12</v>
      </c>
      <c r="B288" s="4" t="s">
        <v>65</v>
      </c>
      <c r="C288" s="4">
        <v>2022</v>
      </c>
      <c r="D288" s="4">
        <v>6</v>
      </c>
      <c r="E288" s="2" t="s">
        <v>17</v>
      </c>
      <c r="F288" s="4" t="s">
        <v>18</v>
      </c>
      <c r="G288" s="7" t="s">
        <v>19</v>
      </c>
      <c r="H288" s="4">
        <v>34</v>
      </c>
      <c r="I288" s="4">
        <v>0</v>
      </c>
      <c r="J288" s="4">
        <v>6639</v>
      </c>
      <c r="K288" s="2">
        <v>0</v>
      </c>
      <c r="L288" s="2">
        <v>7.0000000000000001E-3</v>
      </c>
    </row>
    <row r="289" spans="1:12" ht="17" x14ac:dyDescent="0.2">
      <c r="A289" s="2" t="s">
        <v>12</v>
      </c>
      <c r="B289" s="4" t="s">
        <v>65</v>
      </c>
      <c r="C289" s="4">
        <v>2022</v>
      </c>
      <c r="D289" s="4">
        <v>6</v>
      </c>
      <c r="E289" s="2" t="s">
        <v>39</v>
      </c>
      <c r="F289" s="4" t="s">
        <v>40</v>
      </c>
      <c r="G289" s="7" t="s">
        <v>41</v>
      </c>
      <c r="H289" s="4">
        <v>33</v>
      </c>
      <c r="I289" s="4">
        <v>0</v>
      </c>
      <c r="J289" s="4">
        <v>47531</v>
      </c>
      <c r="K289" s="2">
        <v>0</v>
      </c>
      <c r="L289" s="2">
        <v>4.8000000000000001E-2</v>
      </c>
    </row>
    <row r="290" spans="1:12" ht="17" x14ac:dyDescent="0.2">
      <c r="A290" s="2" t="s">
        <v>12</v>
      </c>
      <c r="B290" s="4" t="s">
        <v>65</v>
      </c>
      <c r="C290" s="4">
        <v>2022</v>
      </c>
      <c r="D290" s="4">
        <v>6</v>
      </c>
      <c r="E290" s="2" t="s">
        <v>36</v>
      </c>
      <c r="F290" s="4" t="s">
        <v>15</v>
      </c>
      <c r="G290" s="7" t="s">
        <v>37</v>
      </c>
      <c r="H290" s="4">
        <v>1</v>
      </c>
      <c r="I290" s="4">
        <v>0</v>
      </c>
      <c r="J290" s="4">
        <v>1162</v>
      </c>
      <c r="K290" s="2">
        <v>0</v>
      </c>
      <c r="L290" s="2">
        <v>1E-3</v>
      </c>
    </row>
    <row r="291" spans="1:12" ht="17" x14ac:dyDescent="0.2">
      <c r="A291" s="2" t="s">
        <v>12</v>
      </c>
      <c r="B291" s="4" t="s">
        <v>65</v>
      </c>
      <c r="C291" s="4">
        <v>2022</v>
      </c>
      <c r="D291" s="4">
        <v>6</v>
      </c>
      <c r="E291" s="2" t="s">
        <v>57</v>
      </c>
      <c r="F291" s="4" t="s">
        <v>58</v>
      </c>
      <c r="G291" s="7" t="s">
        <v>59</v>
      </c>
      <c r="H291" s="4">
        <v>11</v>
      </c>
      <c r="I291" s="4">
        <v>10</v>
      </c>
      <c r="J291" s="4">
        <v>26861</v>
      </c>
      <c r="K291" s="2">
        <v>1439790</v>
      </c>
      <c r="L291" s="2">
        <v>1.4670000000000001</v>
      </c>
    </row>
    <row r="292" spans="1:12" ht="17" x14ac:dyDescent="0.2">
      <c r="A292" s="2" t="s">
        <v>12</v>
      </c>
      <c r="B292" s="4" t="s">
        <v>13</v>
      </c>
      <c r="C292" s="4">
        <v>2023</v>
      </c>
      <c r="D292" s="4">
        <v>6</v>
      </c>
      <c r="E292" s="2" t="s">
        <v>74</v>
      </c>
      <c r="F292" s="4" t="s">
        <v>75</v>
      </c>
      <c r="G292" s="7" t="s">
        <v>89</v>
      </c>
      <c r="H292" s="4">
        <v>12</v>
      </c>
      <c r="I292" s="4">
        <v>0</v>
      </c>
      <c r="J292" s="4">
        <v>13880</v>
      </c>
      <c r="K292" s="2">
        <v>0</v>
      </c>
      <c r="L292" s="2">
        <v>1.4E-2</v>
      </c>
    </row>
    <row r="293" spans="1:12" ht="17" x14ac:dyDescent="0.2">
      <c r="A293" s="2" t="s">
        <v>12</v>
      </c>
      <c r="B293" s="4" t="s">
        <v>13</v>
      </c>
      <c r="C293" s="4">
        <v>2023</v>
      </c>
      <c r="D293" s="4">
        <v>6</v>
      </c>
      <c r="E293" s="2" t="s">
        <v>87</v>
      </c>
      <c r="F293" s="4" t="s">
        <v>85</v>
      </c>
      <c r="G293" s="7" t="s">
        <v>88</v>
      </c>
      <c r="H293" s="4">
        <v>27</v>
      </c>
      <c r="I293" s="4">
        <v>0</v>
      </c>
      <c r="J293" s="4">
        <v>18102</v>
      </c>
      <c r="K293" s="2">
        <v>0</v>
      </c>
      <c r="L293" s="2">
        <v>1.7999999999999999E-2</v>
      </c>
    </row>
    <row r="294" spans="1:12" ht="17" x14ac:dyDescent="0.2">
      <c r="A294" s="2" t="s">
        <v>12</v>
      </c>
      <c r="B294" s="4" t="s">
        <v>13</v>
      </c>
      <c r="C294" s="4">
        <v>2023</v>
      </c>
      <c r="D294" s="4">
        <v>6</v>
      </c>
      <c r="E294" s="2" t="s">
        <v>84</v>
      </c>
      <c r="F294" s="4" t="s">
        <v>85</v>
      </c>
      <c r="G294" s="7" t="s">
        <v>86</v>
      </c>
      <c r="L294" s="2">
        <v>0</v>
      </c>
    </row>
    <row r="295" spans="1:12" ht="17" x14ac:dyDescent="0.2">
      <c r="A295" s="2" t="s">
        <v>12</v>
      </c>
      <c r="B295" s="4" t="s">
        <v>13</v>
      </c>
      <c r="C295" s="4">
        <v>2023</v>
      </c>
      <c r="D295" s="4">
        <v>6</v>
      </c>
      <c r="E295" s="2" t="s">
        <v>81</v>
      </c>
      <c r="F295" s="4" t="s">
        <v>82</v>
      </c>
      <c r="G295" s="7" t="s">
        <v>83</v>
      </c>
      <c r="H295" s="4">
        <v>3</v>
      </c>
      <c r="I295" s="4">
        <v>0</v>
      </c>
      <c r="J295" s="4">
        <v>674</v>
      </c>
      <c r="K295" s="2">
        <v>0</v>
      </c>
      <c r="L295" s="2">
        <v>1E-3</v>
      </c>
    </row>
    <row r="296" spans="1:12" ht="17" x14ac:dyDescent="0.2">
      <c r="A296" s="2" t="s">
        <v>12</v>
      </c>
      <c r="B296" s="4" t="s">
        <v>13</v>
      </c>
      <c r="C296" s="4">
        <v>2023</v>
      </c>
      <c r="D296" s="4">
        <v>6</v>
      </c>
      <c r="E296" s="2" t="s">
        <v>60</v>
      </c>
      <c r="F296" s="4" t="s">
        <v>29</v>
      </c>
      <c r="G296" s="7" t="s">
        <v>30</v>
      </c>
      <c r="H296" s="4">
        <v>1124</v>
      </c>
      <c r="I296" s="4">
        <v>2</v>
      </c>
      <c r="J296" s="4">
        <v>2148845</v>
      </c>
      <c r="K296" s="2">
        <v>1001520</v>
      </c>
      <c r="L296" s="2">
        <v>3.15</v>
      </c>
    </row>
    <row r="297" spans="1:12" ht="17" x14ac:dyDescent="0.2">
      <c r="A297" s="2" t="s">
        <v>12</v>
      </c>
      <c r="B297" s="4" t="s">
        <v>13</v>
      </c>
      <c r="C297" s="4">
        <v>2023</v>
      </c>
      <c r="D297" s="4">
        <v>6</v>
      </c>
      <c r="E297" s="2" t="s">
        <v>90</v>
      </c>
      <c r="F297" s="4" t="s">
        <v>85</v>
      </c>
      <c r="G297" s="7" t="s">
        <v>91</v>
      </c>
      <c r="H297" s="4">
        <v>151</v>
      </c>
      <c r="I297" s="4">
        <v>10</v>
      </c>
      <c r="J297" s="4">
        <v>378299</v>
      </c>
      <c r="K297" s="2">
        <v>77962</v>
      </c>
      <c r="L297" s="2">
        <v>0.45600000000000002</v>
      </c>
    </row>
    <row r="298" spans="1:12" ht="17" x14ac:dyDescent="0.2">
      <c r="A298" s="2" t="s">
        <v>12</v>
      </c>
      <c r="B298" s="4" t="s">
        <v>13</v>
      </c>
      <c r="C298" s="4">
        <v>2023</v>
      </c>
      <c r="D298" s="4">
        <v>6</v>
      </c>
      <c r="E298" s="2" t="s">
        <v>73</v>
      </c>
      <c r="F298" s="4" t="s">
        <v>29</v>
      </c>
      <c r="G298" s="7" t="s">
        <v>30</v>
      </c>
      <c r="H298" s="4">
        <v>1756</v>
      </c>
      <c r="I298" s="4">
        <v>2</v>
      </c>
      <c r="J298" s="4">
        <v>4473639</v>
      </c>
      <c r="K298" s="2">
        <v>1171098</v>
      </c>
      <c r="L298" s="2">
        <v>5.6449999999999996</v>
      </c>
    </row>
    <row r="299" spans="1:12" ht="17" x14ac:dyDescent="0.2">
      <c r="A299" s="2" t="s">
        <v>12</v>
      </c>
      <c r="B299" s="4" t="s">
        <v>13</v>
      </c>
      <c r="C299" s="4">
        <v>2023</v>
      </c>
      <c r="D299" s="4">
        <v>6</v>
      </c>
      <c r="E299" s="2" t="s">
        <v>28</v>
      </c>
      <c r="F299" s="4" t="s">
        <v>29</v>
      </c>
      <c r="G299" s="7" t="s">
        <v>30</v>
      </c>
      <c r="H299" s="4">
        <v>635</v>
      </c>
      <c r="I299" s="4">
        <v>2</v>
      </c>
      <c r="J299" s="4">
        <v>2780000</v>
      </c>
      <c r="K299" s="2">
        <v>1510000</v>
      </c>
      <c r="L299" s="2">
        <v>4.29</v>
      </c>
    </row>
    <row r="300" spans="1:12" ht="17" x14ac:dyDescent="0.2">
      <c r="A300" s="2" t="s">
        <v>12</v>
      </c>
      <c r="B300" s="4" t="s">
        <v>13</v>
      </c>
      <c r="C300" s="4">
        <v>2023</v>
      </c>
      <c r="D300" s="4">
        <v>6</v>
      </c>
      <c r="E300" s="2" t="s">
        <v>77</v>
      </c>
      <c r="F300" s="4" t="s">
        <v>15</v>
      </c>
      <c r="G300" s="7" t="s">
        <v>78</v>
      </c>
      <c r="H300" s="4">
        <v>22</v>
      </c>
      <c r="I300" s="4">
        <v>3</v>
      </c>
      <c r="J300" s="4">
        <v>25205</v>
      </c>
      <c r="K300" s="2">
        <v>170568</v>
      </c>
      <c r="L300" s="2">
        <v>0.19600000000000001</v>
      </c>
    </row>
    <row r="301" spans="1:12" ht="17" x14ac:dyDescent="0.2">
      <c r="A301" s="2" t="s">
        <v>12</v>
      </c>
      <c r="B301" s="4" t="s">
        <v>13</v>
      </c>
      <c r="C301" s="4">
        <v>2023</v>
      </c>
      <c r="D301" s="4">
        <v>6</v>
      </c>
      <c r="E301" s="2" t="s">
        <v>54</v>
      </c>
      <c r="F301" s="4" t="s">
        <v>55</v>
      </c>
      <c r="G301" s="7" t="s">
        <v>56</v>
      </c>
      <c r="H301" s="4">
        <v>94</v>
      </c>
      <c r="I301" s="4">
        <v>6</v>
      </c>
      <c r="J301" s="4">
        <v>192949</v>
      </c>
      <c r="K301" s="2">
        <v>18346</v>
      </c>
      <c r="L301" s="2">
        <v>0.21099999999999999</v>
      </c>
    </row>
    <row r="302" spans="1:12" ht="17" x14ac:dyDescent="0.2">
      <c r="A302" s="2" t="s">
        <v>12</v>
      </c>
      <c r="B302" s="4" t="s">
        <v>13</v>
      </c>
      <c r="C302" s="4">
        <v>2023</v>
      </c>
      <c r="D302" s="4">
        <v>6</v>
      </c>
      <c r="E302" s="2" t="s">
        <v>51</v>
      </c>
      <c r="F302" s="4" t="s">
        <v>52</v>
      </c>
      <c r="G302" s="7" t="s">
        <v>53</v>
      </c>
      <c r="H302" s="4">
        <v>12</v>
      </c>
      <c r="I302" s="4">
        <v>11</v>
      </c>
      <c r="J302" s="4">
        <v>2580</v>
      </c>
      <c r="K302" s="2">
        <v>246438</v>
      </c>
      <c r="L302" s="2">
        <v>0.249</v>
      </c>
    </row>
    <row r="303" spans="1:12" ht="17" x14ac:dyDescent="0.2">
      <c r="A303" s="2" t="s">
        <v>12</v>
      </c>
      <c r="B303" s="4" t="s">
        <v>13</v>
      </c>
      <c r="C303" s="4">
        <v>2023</v>
      </c>
      <c r="D303" s="4">
        <v>6</v>
      </c>
      <c r="E303" s="2" t="s">
        <v>48</v>
      </c>
      <c r="F303" s="4" t="s">
        <v>49</v>
      </c>
      <c r="G303" s="7" t="s">
        <v>50</v>
      </c>
      <c r="L303" s="2">
        <v>0</v>
      </c>
    </row>
    <row r="304" spans="1:12" ht="17" x14ac:dyDescent="0.2">
      <c r="A304" s="2" t="s">
        <v>12</v>
      </c>
      <c r="B304" s="4" t="s">
        <v>13</v>
      </c>
      <c r="C304" s="4">
        <v>2023</v>
      </c>
      <c r="D304" s="4">
        <v>6</v>
      </c>
      <c r="E304" s="2" t="s">
        <v>42</v>
      </c>
      <c r="F304" s="4" t="s">
        <v>43</v>
      </c>
      <c r="G304" s="7" t="s">
        <v>44</v>
      </c>
      <c r="H304" s="4">
        <v>15</v>
      </c>
      <c r="I304" s="4">
        <v>0</v>
      </c>
      <c r="J304" s="4">
        <v>4388</v>
      </c>
      <c r="K304" s="2">
        <v>0</v>
      </c>
      <c r="L304" s="2">
        <v>4.0000000000000001E-3</v>
      </c>
    </row>
    <row r="305" spans="1:12" ht="17" x14ac:dyDescent="0.2">
      <c r="A305" s="2" t="s">
        <v>12</v>
      </c>
      <c r="B305" s="4" t="s">
        <v>13</v>
      </c>
      <c r="C305" s="4">
        <v>2023</v>
      </c>
      <c r="D305" s="4">
        <v>6</v>
      </c>
      <c r="E305" s="2" t="s">
        <v>38</v>
      </c>
      <c r="F305" s="4" t="s">
        <v>21</v>
      </c>
      <c r="G305" s="7" t="s">
        <v>22</v>
      </c>
      <c r="H305" s="4">
        <v>152</v>
      </c>
      <c r="I305" s="4">
        <v>2</v>
      </c>
      <c r="J305" s="4">
        <v>68274</v>
      </c>
      <c r="K305" s="2">
        <v>233001</v>
      </c>
      <c r="L305" s="2">
        <v>0.30099999999999999</v>
      </c>
    </row>
    <row r="306" spans="1:12" ht="17" x14ac:dyDescent="0.2">
      <c r="A306" s="2" t="s">
        <v>12</v>
      </c>
      <c r="B306" s="4" t="s">
        <v>13</v>
      </c>
      <c r="C306" s="4">
        <v>2023</v>
      </c>
      <c r="D306" s="4">
        <v>6</v>
      </c>
      <c r="E306" s="2" t="s">
        <v>20</v>
      </c>
      <c r="F306" s="4" t="s">
        <v>21</v>
      </c>
      <c r="G306" s="7" t="s">
        <v>22</v>
      </c>
      <c r="H306" s="4">
        <v>167</v>
      </c>
      <c r="I306" s="4">
        <v>0</v>
      </c>
      <c r="J306" s="4">
        <v>14120</v>
      </c>
      <c r="K306" s="2">
        <v>0</v>
      </c>
      <c r="L306" s="2">
        <v>1.4E-2</v>
      </c>
    </row>
    <row r="307" spans="1:12" ht="17" x14ac:dyDescent="0.2">
      <c r="A307" s="2" t="s">
        <v>12</v>
      </c>
      <c r="B307" s="4" t="s">
        <v>13</v>
      </c>
      <c r="C307" s="4">
        <v>2023</v>
      </c>
      <c r="D307" s="4">
        <v>6</v>
      </c>
      <c r="E307" s="2" t="s">
        <v>45</v>
      </c>
      <c r="F307" s="4" t="s">
        <v>46</v>
      </c>
      <c r="G307" s="7" t="s">
        <v>47</v>
      </c>
      <c r="H307" s="4">
        <v>265</v>
      </c>
      <c r="I307" s="4">
        <v>4</v>
      </c>
      <c r="J307" s="4">
        <v>140330</v>
      </c>
      <c r="K307" s="2">
        <v>36304</v>
      </c>
      <c r="L307" s="2">
        <v>0.17699999999999999</v>
      </c>
    </row>
    <row r="308" spans="1:12" ht="17" x14ac:dyDescent="0.2">
      <c r="A308" s="2" t="s">
        <v>12</v>
      </c>
      <c r="B308" s="4" t="s">
        <v>13</v>
      </c>
      <c r="C308" s="4">
        <v>2023</v>
      </c>
      <c r="D308" s="4">
        <v>11</v>
      </c>
      <c r="E308" s="2" t="s">
        <v>14</v>
      </c>
      <c r="F308" s="4" t="s">
        <v>15</v>
      </c>
      <c r="G308" s="7" t="s">
        <v>16</v>
      </c>
      <c r="H308" s="4">
        <v>24</v>
      </c>
      <c r="I308" s="4">
        <v>0</v>
      </c>
      <c r="J308" s="4">
        <v>15619</v>
      </c>
      <c r="K308" s="2">
        <v>0</v>
      </c>
      <c r="L308" s="2">
        <v>1.6E-2</v>
      </c>
    </row>
    <row r="309" spans="1:12" ht="17" x14ac:dyDescent="0.2">
      <c r="A309" s="2" t="s">
        <v>12</v>
      </c>
      <c r="B309" s="4" t="s">
        <v>13</v>
      </c>
      <c r="C309" s="4">
        <v>2023</v>
      </c>
      <c r="D309" s="4">
        <v>6</v>
      </c>
      <c r="E309" s="2" t="s">
        <v>39</v>
      </c>
      <c r="F309" s="4" t="s">
        <v>40</v>
      </c>
      <c r="G309" s="7" t="s">
        <v>41</v>
      </c>
      <c r="L309" s="2">
        <v>0</v>
      </c>
    </row>
    <row r="310" spans="1:12" ht="34" x14ac:dyDescent="0.2">
      <c r="A310" s="2" t="s">
        <v>12</v>
      </c>
      <c r="B310" s="4" t="s">
        <v>13</v>
      </c>
      <c r="C310" s="4">
        <v>2023</v>
      </c>
      <c r="D310" s="4">
        <v>6</v>
      </c>
      <c r="E310" s="2" t="s">
        <v>70</v>
      </c>
      <c r="F310" s="4" t="s">
        <v>71</v>
      </c>
      <c r="G310" s="7" t="s">
        <v>72</v>
      </c>
      <c r="H310" s="4">
        <v>32</v>
      </c>
      <c r="I310" s="4">
        <v>0</v>
      </c>
      <c r="J310" s="4">
        <v>11237</v>
      </c>
      <c r="K310" s="2">
        <v>0</v>
      </c>
      <c r="L310" s="2">
        <v>1.0999999999999999E-2</v>
      </c>
    </row>
    <row r="311" spans="1:12" ht="17" x14ac:dyDescent="0.2">
      <c r="A311" s="2" t="s">
        <v>12</v>
      </c>
      <c r="B311" s="4" t="s">
        <v>13</v>
      </c>
      <c r="C311" s="4">
        <v>2023</v>
      </c>
      <c r="D311" s="4">
        <v>6</v>
      </c>
      <c r="E311" s="2" t="s">
        <v>79</v>
      </c>
      <c r="F311" s="4" t="s">
        <v>71</v>
      </c>
      <c r="G311" s="7" t="s">
        <v>80</v>
      </c>
      <c r="H311" s="4">
        <v>82</v>
      </c>
      <c r="I311" s="4">
        <v>9</v>
      </c>
      <c r="J311" s="4">
        <v>56000</v>
      </c>
      <c r="K311" s="2">
        <v>258000</v>
      </c>
      <c r="L311" s="2">
        <v>0.314</v>
      </c>
    </row>
    <row r="312" spans="1:12" ht="17" x14ac:dyDescent="0.2">
      <c r="A312" s="2" t="s">
        <v>12</v>
      </c>
      <c r="B312" s="4" t="s">
        <v>13</v>
      </c>
      <c r="C312" s="4">
        <v>2023</v>
      </c>
      <c r="D312" s="4">
        <v>6</v>
      </c>
      <c r="E312" s="2" t="s">
        <v>68</v>
      </c>
      <c r="F312" s="4" t="s">
        <v>18</v>
      </c>
      <c r="G312" s="7" t="s">
        <v>69</v>
      </c>
      <c r="H312" s="4">
        <v>28</v>
      </c>
      <c r="I312" s="4">
        <v>8</v>
      </c>
      <c r="J312" s="4">
        <v>10731</v>
      </c>
      <c r="K312" s="2">
        <v>727348</v>
      </c>
      <c r="L312" s="2">
        <v>0.73799999999999999</v>
      </c>
    </row>
    <row r="313" spans="1:12" ht="34" x14ac:dyDescent="0.2">
      <c r="A313" s="2" t="s">
        <v>12</v>
      </c>
      <c r="B313" s="4" t="s">
        <v>13</v>
      </c>
      <c r="C313" s="4">
        <v>2023</v>
      </c>
      <c r="D313" s="4">
        <v>6</v>
      </c>
      <c r="E313" s="2" t="s">
        <v>17</v>
      </c>
      <c r="F313" s="4" t="s">
        <v>18</v>
      </c>
      <c r="G313" s="7" t="s">
        <v>19</v>
      </c>
      <c r="H313" s="4">
        <v>68</v>
      </c>
      <c r="I313" s="4">
        <v>0</v>
      </c>
      <c r="J313" s="4">
        <v>26034</v>
      </c>
      <c r="K313" s="2">
        <v>0</v>
      </c>
      <c r="L313" s="2">
        <v>2.5999999999999999E-2</v>
      </c>
    </row>
    <row r="314" spans="1:12" ht="17" x14ac:dyDescent="0.2">
      <c r="A314" s="2" t="s">
        <v>12</v>
      </c>
      <c r="B314" s="4" t="s">
        <v>13</v>
      </c>
      <c r="C314" s="4">
        <v>2023</v>
      </c>
      <c r="D314" s="4">
        <v>6</v>
      </c>
      <c r="E314" s="2" t="s">
        <v>23</v>
      </c>
      <c r="F314" s="4" t="s">
        <v>15</v>
      </c>
      <c r="G314" s="7" t="s">
        <v>24</v>
      </c>
      <c r="L314" s="2">
        <v>0</v>
      </c>
    </row>
    <row r="315" spans="1:12" ht="17" x14ac:dyDescent="0.2">
      <c r="A315" s="2" t="s">
        <v>12</v>
      </c>
      <c r="B315" s="4" t="s">
        <v>13</v>
      </c>
      <c r="C315" s="4">
        <v>2023</v>
      </c>
      <c r="D315" s="4">
        <v>6</v>
      </c>
      <c r="E315" s="2" t="s">
        <v>14</v>
      </c>
      <c r="F315" s="4" t="s">
        <v>15</v>
      </c>
      <c r="G315" s="7" t="s">
        <v>16</v>
      </c>
      <c r="H315" s="4">
        <v>9</v>
      </c>
      <c r="I315" s="4">
        <v>2</v>
      </c>
      <c r="J315" s="4">
        <v>6343</v>
      </c>
      <c r="K315" s="2">
        <v>224</v>
      </c>
      <c r="L315" s="2">
        <v>7.0000000000000001E-3</v>
      </c>
    </row>
    <row r="316" spans="1:12" ht="17" x14ac:dyDescent="0.2">
      <c r="A316" s="2" t="s">
        <v>12</v>
      </c>
      <c r="B316" s="4" t="s">
        <v>13</v>
      </c>
      <c r="C316" s="4">
        <v>2023</v>
      </c>
      <c r="D316" s="4">
        <v>6</v>
      </c>
      <c r="E316" s="2" t="s">
        <v>36</v>
      </c>
      <c r="F316" s="4" t="s">
        <v>15</v>
      </c>
      <c r="G316" s="7" t="s">
        <v>37</v>
      </c>
      <c r="H316" s="4">
        <v>67</v>
      </c>
      <c r="I316" s="4">
        <v>2</v>
      </c>
      <c r="J316" s="4">
        <v>16744</v>
      </c>
      <c r="K316" s="2">
        <v>183930</v>
      </c>
      <c r="L316" s="2">
        <v>0.20100000000000001</v>
      </c>
    </row>
    <row r="317" spans="1:12" ht="17" x14ac:dyDescent="0.2">
      <c r="A317" s="2" t="s">
        <v>12</v>
      </c>
      <c r="B317" s="4" t="s">
        <v>13</v>
      </c>
      <c r="C317" s="4">
        <v>2023</v>
      </c>
      <c r="D317" s="4">
        <v>6</v>
      </c>
      <c r="E317" s="2" t="s">
        <v>63</v>
      </c>
      <c r="F317" s="4" t="s">
        <v>26</v>
      </c>
      <c r="G317" s="7" t="s">
        <v>64</v>
      </c>
      <c r="H317" s="4">
        <v>19</v>
      </c>
      <c r="I317" s="4">
        <v>6</v>
      </c>
      <c r="J317" s="4">
        <v>12648</v>
      </c>
      <c r="K317" s="2">
        <v>1766123</v>
      </c>
      <c r="L317" s="2">
        <v>1.7789999999999999</v>
      </c>
    </row>
    <row r="318" spans="1:12" ht="17" x14ac:dyDescent="0.2">
      <c r="A318" s="2" t="s">
        <v>12</v>
      </c>
      <c r="B318" s="4" t="s">
        <v>13</v>
      </c>
      <c r="C318" s="4">
        <v>2023</v>
      </c>
      <c r="D318" s="4">
        <v>6</v>
      </c>
      <c r="E318" s="2" t="s">
        <v>34</v>
      </c>
      <c r="F318" s="4" t="s">
        <v>26</v>
      </c>
      <c r="G318" s="7" t="s">
        <v>35</v>
      </c>
      <c r="H318" s="4">
        <v>25</v>
      </c>
      <c r="I318" s="4">
        <v>3</v>
      </c>
      <c r="J318" s="4">
        <v>21544</v>
      </c>
      <c r="K318" s="2">
        <v>508455</v>
      </c>
      <c r="L318" s="2">
        <v>0.53</v>
      </c>
    </row>
    <row r="319" spans="1:12" ht="34" x14ac:dyDescent="0.2">
      <c r="A319" s="2" t="s">
        <v>12</v>
      </c>
      <c r="B319" s="4" t="s">
        <v>13</v>
      </c>
      <c r="C319" s="4">
        <v>2023</v>
      </c>
      <c r="D319" s="4">
        <v>6</v>
      </c>
      <c r="E319" s="2" t="s">
        <v>25</v>
      </c>
      <c r="F319" s="4" t="s">
        <v>26</v>
      </c>
      <c r="G319" s="7" t="s">
        <v>27</v>
      </c>
      <c r="H319" s="4">
        <v>49</v>
      </c>
      <c r="I319" s="4">
        <v>12</v>
      </c>
      <c r="J319" s="4">
        <v>34844</v>
      </c>
      <c r="K319" s="2">
        <v>1481719</v>
      </c>
      <c r="L319" s="2">
        <v>1.5169999999999999</v>
      </c>
    </row>
    <row r="320" spans="1:12" ht="34" x14ac:dyDescent="0.2">
      <c r="A320" s="2" t="s">
        <v>12</v>
      </c>
      <c r="B320" s="4" t="s">
        <v>13</v>
      </c>
      <c r="C320" s="4">
        <v>2023</v>
      </c>
      <c r="D320" s="4">
        <v>6</v>
      </c>
      <c r="E320" s="2" t="s">
        <v>61</v>
      </c>
      <c r="F320" s="4" t="s">
        <v>26</v>
      </c>
      <c r="G320" s="7" t="s">
        <v>62</v>
      </c>
      <c r="H320" s="4">
        <v>24</v>
      </c>
      <c r="I320" s="4">
        <v>0</v>
      </c>
      <c r="J320" s="4">
        <v>12917</v>
      </c>
      <c r="K320" s="2">
        <v>0</v>
      </c>
      <c r="L320" s="2">
        <v>1.2999999999999999E-2</v>
      </c>
    </row>
    <row r="321" spans="1:12" ht="17" x14ac:dyDescent="0.2">
      <c r="A321" s="2" t="s">
        <v>12</v>
      </c>
      <c r="B321" s="4" t="s">
        <v>13</v>
      </c>
      <c r="C321" s="4">
        <v>2023</v>
      </c>
      <c r="D321" s="4">
        <v>6</v>
      </c>
      <c r="E321" s="2" t="s">
        <v>57</v>
      </c>
      <c r="F321" s="4" t="s">
        <v>58</v>
      </c>
      <c r="G321" s="7" t="s">
        <v>59</v>
      </c>
      <c r="H321" s="4">
        <v>37</v>
      </c>
      <c r="I321" s="4">
        <v>25</v>
      </c>
      <c r="J321" s="4">
        <v>175619</v>
      </c>
      <c r="K321" s="2">
        <v>1839659</v>
      </c>
      <c r="L321" s="2">
        <v>2.0150000000000001</v>
      </c>
    </row>
    <row r="322" spans="1:12" ht="17" x14ac:dyDescent="0.2">
      <c r="A322" s="2" t="s">
        <v>12</v>
      </c>
      <c r="B322" s="4" t="s">
        <v>13</v>
      </c>
      <c r="C322" s="4">
        <v>2023</v>
      </c>
      <c r="D322" s="4">
        <v>6</v>
      </c>
      <c r="E322" s="2" t="s">
        <v>66</v>
      </c>
      <c r="F322" s="4" t="s">
        <v>58</v>
      </c>
      <c r="G322" s="7" t="s">
        <v>67</v>
      </c>
      <c r="H322" s="4">
        <v>2782</v>
      </c>
      <c r="I322" s="4">
        <v>17</v>
      </c>
      <c r="J322" s="4">
        <v>531467</v>
      </c>
      <c r="K322" s="2">
        <v>13764283</v>
      </c>
      <c r="L322" s="2">
        <v>14.295999999999999</v>
      </c>
    </row>
    <row r="323" spans="1:12" ht="17" x14ac:dyDescent="0.2">
      <c r="A323" s="2" t="s">
        <v>12</v>
      </c>
      <c r="B323" s="4" t="s">
        <v>13</v>
      </c>
      <c r="C323" s="4">
        <v>2023</v>
      </c>
      <c r="D323" s="4">
        <v>6</v>
      </c>
      <c r="F323" s="4" t="s">
        <v>94</v>
      </c>
      <c r="G323" s="7" t="s">
        <v>95</v>
      </c>
      <c r="H323" s="4">
        <v>15</v>
      </c>
      <c r="I323" s="4">
        <v>6</v>
      </c>
      <c r="J323" s="4">
        <v>19546</v>
      </c>
      <c r="K323" s="2">
        <v>493006</v>
      </c>
      <c r="L323" s="2">
        <v>0.51300000000000001</v>
      </c>
    </row>
    <row r="324" spans="1:12" ht="17" x14ac:dyDescent="0.2">
      <c r="A324" s="2" t="s">
        <v>12</v>
      </c>
      <c r="B324" s="4" t="s">
        <v>13</v>
      </c>
      <c r="C324" s="4">
        <v>2023</v>
      </c>
      <c r="D324" s="4">
        <v>6</v>
      </c>
      <c r="E324" s="2" t="s">
        <v>92</v>
      </c>
      <c r="F324" s="4" t="s">
        <v>75</v>
      </c>
      <c r="G324" s="7" t="s">
        <v>93</v>
      </c>
      <c r="H324" s="4">
        <v>58</v>
      </c>
      <c r="I324" s="4">
        <v>0</v>
      </c>
      <c r="J324" s="4">
        <v>1070260</v>
      </c>
      <c r="K324" s="2">
        <v>0</v>
      </c>
      <c r="L324" s="2">
        <v>1.07</v>
      </c>
    </row>
    <row r="325" spans="1:12" ht="17" x14ac:dyDescent="0.2">
      <c r="A325" s="2" t="s">
        <v>12</v>
      </c>
      <c r="B325" s="4" t="s">
        <v>13</v>
      </c>
      <c r="C325" s="4">
        <v>2023</v>
      </c>
      <c r="D325" s="4">
        <v>3</v>
      </c>
      <c r="E325" s="2" t="s">
        <v>77</v>
      </c>
      <c r="F325" s="4" t="s">
        <v>15</v>
      </c>
      <c r="G325" s="7" t="s">
        <v>78</v>
      </c>
      <c r="H325" s="4">
        <v>18</v>
      </c>
      <c r="I325" s="4">
        <v>0</v>
      </c>
      <c r="J325" s="4">
        <v>3330</v>
      </c>
      <c r="K325" s="2">
        <v>0</v>
      </c>
      <c r="L325" s="2">
        <v>3.0000000000000001E-3</v>
      </c>
    </row>
    <row r="326" spans="1:12" ht="17" x14ac:dyDescent="0.2">
      <c r="A326" s="2" t="s">
        <v>12</v>
      </c>
      <c r="B326" s="4" t="s">
        <v>13</v>
      </c>
      <c r="C326" s="4">
        <v>2023</v>
      </c>
      <c r="D326" s="4">
        <v>3</v>
      </c>
      <c r="E326" s="2" t="s">
        <v>51</v>
      </c>
      <c r="F326" s="4" t="s">
        <v>52</v>
      </c>
      <c r="G326" s="7" t="s">
        <v>53</v>
      </c>
      <c r="H326" s="4">
        <v>12</v>
      </c>
      <c r="I326" s="4">
        <v>11</v>
      </c>
      <c r="J326" s="4">
        <v>3799</v>
      </c>
      <c r="K326" s="2">
        <v>230176</v>
      </c>
      <c r="L326" s="2">
        <v>0.23400000000000001</v>
      </c>
    </row>
    <row r="327" spans="1:12" ht="17" x14ac:dyDescent="0.2">
      <c r="A327" s="2" t="s">
        <v>12</v>
      </c>
      <c r="B327" s="4" t="s">
        <v>13</v>
      </c>
      <c r="C327" s="4">
        <v>2023</v>
      </c>
      <c r="D327" s="4">
        <v>3</v>
      </c>
      <c r="E327" s="2" t="s">
        <v>34</v>
      </c>
      <c r="F327" s="4" t="s">
        <v>26</v>
      </c>
      <c r="G327" s="7" t="s">
        <v>35</v>
      </c>
      <c r="H327" s="4">
        <v>11</v>
      </c>
      <c r="I327" s="4">
        <v>3</v>
      </c>
      <c r="J327" s="4">
        <v>16229</v>
      </c>
      <c r="K327" s="2">
        <v>386516</v>
      </c>
      <c r="L327" s="2">
        <v>0.40300000000000002</v>
      </c>
    </row>
    <row r="328" spans="1:12" ht="34" x14ac:dyDescent="0.2">
      <c r="A328" s="2" t="s">
        <v>12</v>
      </c>
      <c r="B328" s="4" t="s">
        <v>13</v>
      </c>
      <c r="C328" s="4">
        <v>2023</v>
      </c>
      <c r="D328" s="4">
        <v>3</v>
      </c>
      <c r="E328" s="2" t="s">
        <v>17</v>
      </c>
      <c r="F328" s="4" t="s">
        <v>18</v>
      </c>
      <c r="G328" s="7" t="s">
        <v>19</v>
      </c>
      <c r="H328" s="4">
        <v>58</v>
      </c>
      <c r="I328" s="4">
        <v>0</v>
      </c>
      <c r="J328" s="4">
        <v>11277</v>
      </c>
      <c r="K328" s="2">
        <v>0</v>
      </c>
      <c r="L328" s="2">
        <v>1.0999999999999999E-2</v>
      </c>
    </row>
    <row r="329" spans="1:12" ht="17" x14ac:dyDescent="0.2">
      <c r="A329" s="2" t="s">
        <v>12</v>
      </c>
      <c r="B329" s="4" t="s">
        <v>13</v>
      </c>
      <c r="C329" s="4">
        <v>2023</v>
      </c>
      <c r="D329" s="4">
        <v>3</v>
      </c>
      <c r="E329" s="2" t="s">
        <v>54</v>
      </c>
      <c r="F329" s="4" t="s">
        <v>55</v>
      </c>
      <c r="G329" s="7" t="s">
        <v>56</v>
      </c>
      <c r="H329" s="4">
        <v>76</v>
      </c>
      <c r="I329" s="4">
        <v>3</v>
      </c>
      <c r="J329" s="4">
        <v>111425</v>
      </c>
      <c r="K329" s="2">
        <v>13650</v>
      </c>
      <c r="L329" s="2">
        <v>0.125</v>
      </c>
    </row>
    <row r="330" spans="1:12" ht="34" x14ac:dyDescent="0.2">
      <c r="A330" s="2" t="s">
        <v>12</v>
      </c>
      <c r="B330" s="4" t="s">
        <v>13</v>
      </c>
      <c r="C330" s="4">
        <v>2023</v>
      </c>
      <c r="D330" s="4">
        <v>3</v>
      </c>
      <c r="E330" s="2" t="s">
        <v>70</v>
      </c>
      <c r="F330" s="4" t="s">
        <v>71</v>
      </c>
      <c r="G330" s="7" t="s">
        <v>72</v>
      </c>
      <c r="H330" s="4">
        <v>29</v>
      </c>
      <c r="I330" s="4">
        <v>0</v>
      </c>
      <c r="J330" s="4">
        <v>5393</v>
      </c>
      <c r="K330" s="2">
        <v>0</v>
      </c>
      <c r="L330" s="2">
        <v>5.0000000000000001E-3</v>
      </c>
    </row>
    <row r="331" spans="1:12" ht="17" x14ac:dyDescent="0.2">
      <c r="A331" s="2" t="s">
        <v>12</v>
      </c>
      <c r="B331" s="4" t="s">
        <v>13</v>
      </c>
      <c r="C331" s="4">
        <v>2023</v>
      </c>
      <c r="D331" s="4">
        <v>3</v>
      </c>
      <c r="E331" s="2" t="s">
        <v>45</v>
      </c>
      <c r="F331" s="4" t="s">
        <v>46</v>
      </c>
      <c r="G331" s="7" t="s">
        <v>47</v>
      </c>
      <c r="H331" s="4">
        <v>256</v>
      </c>
      <c r="I331" s="4">
        <v>4</v>
      </c>
      <c r="J331" s="4">
        <v>83727</v>
      </c>
      <c r="K331" s="2">
        <v>19984</v>
      </c>
      <c r="L331" s="2">
        <v>0.104</v>
      </c>
    </row>
    <row r="332" spans="1:12" ht="17" x14ac:dyDescent="0.2">
      <c r="A332" s="2" t="s">
        <v>12</v>
      </c>
      <c r="B332" s="4" t="s">
        <v>13</v>
      </c>
      <c r="C332" s="4">
        <v>2023</v>
      </c>
      <c r="D332" s="4">
        <v>3</v>
      </c>
      <c r="E332" s="2" t="s">
        <v>38</v>
      </c>
      <c r="F332" s="4" t="s">
        <v>21</v>
      </c>
      <c r="G332" s="7" t="s">
        <v>22</v>
      </c>
      <c r="H332" s="4">
        <v>107</v>
      </c>
      <c r="I332" s="4">
        <v>0</v>
      </c>
      <c r="J332" s="4">
        <v>15367</v>
      </c>
      <c r="K332" s="2">
        <v>0</v>
      </c>
      <c r="L332" s="2">
        <v>1.4999999999999999E-2</v>
      </c>
    </row>
    <row r="333" spans="1:12" ht="17" x14ac:dyDescent="0.2">
      <c r="A333" s="2" t="s">
        <v>12</v>
      </c>
      <c r="B333" s="4" t="s">
        <v>13</v>
      </c>
      <c r="C333" s="4">
        <v>2023</v>
      </c>
      <c r="D333" s="4">
        <v>3</v>
      </c>
      <c r="E333" s="2" t="s">
        <v>79</v>
      </c>
      <c r="F333" s="4" t="s">
        <v>71</v>
      </c>
      <c r="G333" s="7" t="s">
        <v>80</v>
      </c>
      <c r="H333" s="4">
        <v>50</v>
      </c>
      <c r="I333" s="4">
        <v>6</v>
      </c>
      <c r="J333" s="4">
        <v>36000</v>
      </c>
      <c r="K333" s="2">
        <v>105000</v>
      </c>
      <c r="L333" s="2">
        <v>0.14099999999999999</v>
      </c>
    </row>
    <row r="334" spans="1:12" x14ac:dyDescent="0.2">
      <c r="A334" s="2" t="s">
        <v>12</v>
      </c>
      <c r="B334" s="4" t="s">
        <v>13</v>
      </c>
      <c r="C334" s="4">
        <v>2023</v>
      </c>
      <c r="D334" s="4">
        <v>3</v>
      </c>
      <c r="E334" s="2" t="s">
        <v>14</v>
      </c>
      <c r="F334" s="4" t="s">
        <v>15</v>
      </c>
      <c r="H334" s="4">
        <v>5</v>
      </c>
      <c r="I334" s="4">
        <v>0</v>
      </c>
      <c r="J334" s="4">
        <v>3740</v>
      </c>
      <c r="K334" s="2">
        <v>0</v>
      </c>
      <c r="L334" s="2">
        <v>3.7399999999999998E-3</v>
      </c>
    </row>
    <row r="335" spans="1:12" ht="17" x14ac:dyDescent="0.2">
      <c r="A335" s="2" t="s">
        <v>12</v>
      </c>
      <c r="B335" s="4" t="s">
        <v>13</v>
      </c>
      <c r="C335" s="4">
        <v>2023</v>
      </c>
      <c r="D335" s="4">
        <v>3</v>
      </c>
      <c r="E335" s="2" t="s">
        <v>28</v>
      </c>
      <c r="F335" s="4" t="s">
        <v>29</v>
      </c>
      <c r="G335" s="7" t="s">
        <v>30</v>
      </c>
      <c r="H335" s="4">
        <v>621</v>
      </c>
      <c r="I335" s="4">
        <v>2</v>
      </c>
      <c r="J335" s="4">
        <v>3750000</v>
      </c>
      <c r="K335" s="2">
        <v>1180000</v>
      </c>
      <c r="L335" s="2">
        <v>4.93</v>
      </c>
    </row>
    <row r="336" spans="1:12" ht="17" x14ac:dyDescent="0.2">
      <c r="A336" s="2" t="s">
        <v>12</v>
      </c>
      <c r="B336" s="4" t="s">
        <v>13</v>
      </c>
      <c r="C336" s="4">
        <v>2023</v>
      </c>
      <c r="D336" s="4">
        <v>3</v>
      </c>
      <c r="E336" s="2" t="s">
        <v>81</v>
      </c>
      <c r="F336" s="4" t="s">
        <v>82</v>
      </c>
      <c r="G336" s="7" t="s">
        <v>83</v>
      </c>
      <c r="H336" s="4">
        <v>2</v>
      </c>
      <c r="I336" s="4">
        <v>0</v>
      </c>
      <c r="J336" s="4">
        <v>8874</v>
      </c>
      <c r="K336" s="2">
        <v>0</v>
      </c>
      <c r="L336" s="2">
        <v>8.9999999999999993E-3</v>
      </c>
    </row>
    <row r="337" spans="1:12" ht="17" x14ac:dyDescent="0.2">
      <c r="A337" s="2" t="s">
        <v>12</v>
      </c>
      <c r="B337" s="4" t="s">
        <v>13</v>
      </c>
      <c r="C337" s="4">
        <v>2023</v>
      </c>
      <c r="D337" s="4">
        <v>3</v>
      </c>
      <c r="E337" s="2" t="s">
        <v>87</v>
      </c>
      <c r="F337" s="4" t="s">
        <v>85</v>
      </c>
      <c r="G337" s="7" t="s">
        <v>88</v>
      </c>
      <c r="H337" s="4">
        <v>22</v>
      </c>
      <c r="I337" s="4">
        <v>0</v>
      </c>
      <c r="J337" s="4">
        <v>7938</v>
      </c>
      <c r="K337" s="2">
        <v>0</v>
      </c>
      <c r="L337" s="2">
        <v>8.0000000000000002E-3</v>
      </c>
    </row>
    <row r="338" spans="1:12" ht="17" x14ac:dyDescent="0.2">
      <c r="A338" s="2" t="s">
        <v>12</v>
      </c>
      <c r="B338" s="4" t="s">
        <v>13</v>
      </c>
      <c r="C338" s="4">
        <v>2023</v>
      </c>
      <c r="D338" s="4">
        <v>3</v>
      </c>
      <c r="E338" s="2" t="s">
        <v>74</v>
      </c>
      <c r="F338" s="4" t="s">
        <v>75</v>
      </c>
      <c r="G338" s="7" t="s">
        <v>76</v>
      </c>
      <c r="H338" s="4">
        <v>8</v>
      </c>
      <c r="I338" s="4">
        <v>0</v>
      </c>
      <c r="J338" s="4">
        <v>12168</v>
      </c>
      <c r="K338" s="2">
        <v>0</v>
      </c>
      <c r="L338" s="2">
        <v>1.2E-2</v>
      </c>
    </row>
    <row r="339" spans="1:12" ht="17" x14ac:dyDescent="0.2">
      <c r="A339" s="2" t="s">
        <v>12</v>
      </c>
      <c r="B339" s="4" t="s">
        <v>13</v>
      </c>
      <c r="C339" s="4">
        <v>2023</v>
      </c>
      <c r="D339" s="4">
        <v>3</v>
      </c>
      <c r="E339" s="2" t="s">
        <v>20</v>
      </c>
      <c r="F339" s="4" t="s">
        <v>21</v>
      </c>
      <c r="G339" s="7" t="s">
        <v>22</v>
      </c>
      <c r="H339" s="4">
        <v>107</v>
      </c>
      <c r="I339" s="4">
        <v>0</v>
      </c>
      <c r="J339" s="4">
        <v>15367</v>
      </c>
      <c r="K339" s="2">
        <v>0</v>
      </c>
      <c r="L339" s="2">
        <v>1.4999999999999999E-2</v>
      </c>
    </row>
    <row r="340" spans="1:12" ht="17" x14ac:dyDescent="0.2">
      <c r="A340" s="2" t="s">
        <v>12</v>
      </c>
      <c r="B340" s="4" t="s">
        <v>13</v>
      </c>
      <c r="C340" s="4">
        <v>2023</v>
      </c>
      <c r="D340" s="4">
        <v>3</v>
      </c>
      <c r="E340" s="2" t="s">
        <v>36</v>
      </c>
      <c r="F340" s="4" t="s">
        <v>15</v>
      </c>
      <c r="G340" s="7" t="s">
        <v>37</v>
      </c>
      <c r="H340" s="4">
        <v>63</v>
      </c>
      <c r="I340" s="4">
        <v>0</v>
      </c>
      <c r="J340" s="4">
        <v>4830</v>
      </c>
      <c r="K340" s="2">
        <v>0</v>
      </c>
      <c r="L340" s="2">
        <v>5.0000000000000001E-3</v>
      </c>
    </row>
    <row r="341" spans="1:12" ht="17" x14ac:dyDescent="0.2">
      <c r="A341" s="2" t="s">
        <v>12</v>
      </c>
      <c r="B341" s="4" t="s">
        <v>13</v>
      </c>
      <c r="C341" s="4">
        <v>2023</v>
      </c>
      <c r="D341" s="4">
        <v>3</v>
      </c>
      <c r="E341" s="2" t="s">
        <v>73</v>
      </c>
      <c r="F341" s="4" t="s">
        <v>29</v>
      </c>
      <c r="G341" s="7" t="s">
        <v>30</v>
      </c>
      <c r="H341" s="4">
        <v>1615</v>
      </c>
      <c r="I341" s="4">
        <v>1</v>
      </c>
      <c r="J341" s="4">
        <v>3830346</v>
      </c>
      <c r="K341" s="2">
        <v>881460</v>
      </c>
      <c r="L341" s="2">
        <v>4.7119999999999997</v>
      </c>
    </row>
    <row r="342" spans="1:12" ht="17" x14ac:dyDescent="0.2">
      <c r="A342" s="2" t="s">
        <v>12</v>
      </c>
      <c r="B342" s="4" t="s">
        <v>13</v>
      </c>
      <c r="C342" s="4">
        <v>2023</v>
      </c>
      <c r="D342" s="4">
        <v>3</v>
      </c>
      <c r="E342" s="2" t="s">
        <v>66</v>
      </c>
      <c r="F342" s="4" t="s">
        <v>58</v>
      </c>
      <c r="G342" s="7" t="s">
        <v>67</v>
      </c>
      <c r="H342" s="4">
        <v>2583</v>
      </c>
      <c r="I342" s="4">
        <v>17</v>
      </c>
      <c r="J342" s="4">
        <v>100054</v>
      </c>
      <c r="K342" s="2">
        <v>6002819</v>
      </c>
      <c r="L342" s="2">
        <v>6.1029999999999998</v>
      </c>
    </row>
    <row r="343" spans="1:12" ht="17" x14ac:dyDescent="0.2">
      <c r="A343" s="2" t="s">
        <v>12</v>
      </c>
      <c r="B343" s="4" t="s">
        <v>13</v>
      </c>
      <c r="C343" s="4">
        <v>2023</v>
      </c>
      <c r="D343" s="4">
        <v>3</v>
      </c>
      <c r="E343" s="2" t="s">
        <v>57</v>
      </c>
      <c r="F343" s="4" t="s">
        <v>58</v>
      </c>
      <c r="G343" s="7" t="s">
        <v>59</v>
      </c>
      <c r="H343" s="4">
        <v>18</v>
      </c>
      <c r="I343" s="4">
        <v>14</v>
      </c>
      <c r="J343" s="4">
        <v>45266</v>
      </c>
      <c r="K343" s="2">
        <v>1494560</v>
      </c>
      <c r="L343" s="2">
        <v>1.54</v>
      </c>
    </row>
    <row r="344" spans="1:12" ht="34" x14ac:dyDescent="0.2">
      <c r="A344" s="2" t="s">
        <v>12</v>
      </c>
      <c r="B344" s="4" t="s">
        <v>13</v>
      </c>
      <c r="C344" s="4">
        <v>2023</v>
      </c>
      <c r="D344" s="4">
        <v>3</v>
      </c>
      <c r="E344" s="2" t="s">
        <v>61</v>
      </c>
      <c r="F344" s="4" t="s">
        <v>26</v>
      </c>
      <c r="G344" s="7" t="s">
        <v>62</v>
      </c>
      <c r="H344" s="4">
        <v>19</v>
      </c>
      <c r="I344" s="4">
        <v>0</v>
      </c>
      <c r="J344" s="4">
        <v>3130</v>
      </c>
      <c r="K344" s="2">
        <v>0</v>
      </c>
      <c r="L344" s="2">
        <v>3.0000000000000001E-3</v>
      </c>
    </row>
    <row r="345" spans="1:12" ht="17" x14ac:dyDescent="0.2">
      <c r="A345" s="2" t="s">
        <v>12</v>
      </c>
      <c r="B345" s="4" t="s">
        <v>13</v>
      </c>
      <c r="C345" s="4">
        <v>2023</v>
      </c>
      <c r="D345" s="4">
        <v>3</v>
      </c>
      <c r="E345" s="2" t="s">
        <v>60</v>
      </c>
      <c r="F345" s="4" t="s">
        <v>29</v>
      </c>
      <c r="G345" s="7" t="s">
        <v>30</v>
      </c>
      <c r="H345" s="4">
        <v>1000</v>
      </c>
      <c r="I345" s="4">
        <v>2</v>
      </c>
      <c r="J345" s="4">
        <v>1597482</v>
      </c>
      <c r="K345" s="2">
        <v>676650</v>
      </c>
      <c r="L345" s="2">
        <v>2.274</v>
      </c>
    </row>
    <row r="346" spans="1:12" ht="17" x14ac:dyDescent="0.2">
      <c r="A346" s="2" t="s">
        <v>12</v>
      </c>
      <c r="B346" s="4" t="s">
        <v>13</v>
      </c>
      <c r="C346" s="4">
        <v>2023</v>
      </c>
      <c r="D346" s="4">
        <v>3</v>
      </c>
      <c r="E346" s="2" t="s">
        <v>68</v>
      </c>
      <c r="F346" s="4" t="s">
        <v>18</v>
      </c>
      <c r="G346" s="7" t="s">
        <v>69</v>
      </c>
      <c r="H346" s="4">
        <v>24</v>
      </c>
      <c r="I346" s="4">
        <v>7</v>
      </c>
      <c r="J346" s="4">
        <v>5610</v>
      </c>
      <c r="K346" s="2">
        <v>272165</v>
      </c>
      <c r="L346" s="2">
        <v>0.27800000000000002</v>
      </c>
    </row>
    <row r="347" spans="1:12" ht="34" x14ac:dyDescent="0.2">
      <c r="A347" s="2" t="s">
        <v>12</v>
      </c>
      <c r="B347" s="4" t="s">
        <v>65</v>
      </c>
      <c r="C347" s="4">
        <v>2022</v>
      </c>
      <c r="D347" s="4">
        <v>5</v>
      </c>
      <c r="E347" s="2" t="s">
        <v>70</v>
      </c>
      <c r="F347" s="4" t="s">
        <v>71</v>
      </c>
      <c r="G347" s="7" t="s">
        <v>72</v>
      </c>
      <c r="H347" s="4">
        <v>1</v>
      </c>
      <c r="I347" s="4">
        <v>0</v>
      </c>
      <c r="J347" s="4">
        <v>286</v>
      </c>
      <c r="K347" s="2">
        <v>0</v>
      </c>
      <c r="L347" s="2">
        <v>0</v>
      </c>
    </row>
    <row r="348" spans="1:12" ht="17" x14ac:dyDescent="0.2">
      <c r="A348" s="2" t="s">
        <v>12</v>
      </c>
      <c r="B348" s="4" t="s">
        <v>65</v>
      </c>
      <c r="C348" s="4">
        <v>2022</v>
      </c>
      <c r="D348" s="4">
        <v>5</v>
      </c>
      <c r="E348" s="2" t="s">
        <v>39</v>
      </c>
      <c r="F348" s="4" t="s">
        <v>40</v>
      </c>
      <c r="G348" s="7" t="s">
        <v>41</v>
      </c>
      <c r="H348" s="4">
        <v>32</v>
      </c>
      <c r="I348" s="4">
        <v>0</v>
      </c>
      <c r="J348" s="4">
        <v>61383</v>
      </c>
      <c r="K348" s="2">
        <v>0</v>
      </c>
      <c r="L348" s="2">
        <v>6.0999999999999999E-2</v>
      </c>
    </row>
    <row r="349" spans="1:12" ht="17" x14ac:dyDescent="0.2">
      <c r="A349" s="2" t="s">
        <v>12</v>
      </c>
      <c r="B349" s="4" t="s">
        <v>65</v>
      </c>
      <c r="C349" s="4">
        <v>2022</v>
      </c>
      <c r="D349" s="4">
        <v>5</v>
      </c>
      <c r="E349" s="2" t="s">
        <v>45</v>
      </c>
      <c r="F349" s="4" t="s">
        <v>46</v>
      </c>
      <c r="G349" s="7" t="s">
        <v>47</v>
      </c>
      <c r="H349" s="4">
        <v>16</v>
      </c>
      <c r="I349" s="4">
        <v>1</v>
      </c>
      <c r="J349" s="4">
        <v>21983</v>
      </c>
      <c r="K349" s="2">
        <v>15</v>
      </c>
      <c r="L349" s="2">
        <v>2.1999999999999999E-2</v>
      </c>
    </row>
    <row r="350" spans="1:12" ht="17" x14ac:dyDescent="0.2">
      <c r="A350" s="2" t="s">
        <v>12</v>
      </c>
      <c r="B350" s="4" t="s">
        <v>65</v>
      </c>
      <c r="C350" s="4">
        <v>2022</v>
      </c>
      <c r="D350" s="4">
        <v>5</v>
      </c>
      <c r="E350" s="2" t="s">
        <v>73</v>
      </c>
      <c r="F350" s="4" t="s">
        <v>29</v>
      </c>
      <c r="G350" s="7" t="s">
        <v>30</v>
      </c>
      <c r="H350" s="4">
        <v>1167</v>
      </c>
      <c r="I350" s="4">
        <v>1</v>
      </c>
      <c r="J350" s="4">
        <v>2997427</v>
      </c>
      <c r="K350" s="2">
        <v>24720</v>
      </c>
      <c r="L350" s="2">
        <v>3.0219999999999998</v>
      </c>
    </row>
    <row r="351" spans="1:12" ht="17" x14ac:dyDescent="0.2">
      <c r="A351" s="2" t="s">
        <v>12</v>
      </c>
      <c r="B351" s="4" t="s">
        <v>65</v>
      </c>
      <c r="C351" s="4">
        <v>2022</v>
      </c>
      <c r="D351" s="4">
        <v>5</v>
      </c>
      <c r="E351" s="2" t="s">
        <v>74</v>
      </c>
      <c r="F351" s="4" t="s">
        <v>75</v>
      </c>
      <c r="G351" s="7" t="s">
        <v>76</v>
      </c>
      <c r="H351" s="4">
        <v>6</v>
      </c>
      <c r="I351" s="4">
        <v>0</v>
      </c>
      <c r="J351" s="4">
        <v>5524</v>
      </c>
      <c r="K351" s="2">
        <v>0</v>
      </c>
      <c r="L351" s="2">
        <v>6.0000000000000001E-3</v>
      </c>
    </row>
    <row r="352" spans="1:12" ht="17" x14ac:dyDescent="0.2">
      <c r="A352" s="2" t="s">
        <v>12</v>
      </c>
      <c r="B352" s="4" t="s">
        <v>65</v>
      </c>
      <c r="C352" s="4">
        <v>2022</v>
      </c>
      <c r="D352" s="4">
        <v>5</v>
      </c>
      <c r="E352" s="2" t="s">
        <v>66</v>
      </c>
      <c r="F352" s="4" t="s">
        <v>58</v>
      </c>
      <c r="G352" s="7" t="s">
        <v>67</v>
      </c>
      <c r="H352" s="4">
        <v>48</v>
      </c>
      <c r="I352" s="4">
        <v>4</v>
      </c>
      <c r="J352" s="4">
        <v>1914</v>
      </c>
      <c r="K352" s="2">
        <v>652588</v>
      </c>
      <c r="L352" s="2">
        <v>0.65500000000000003</v>
      </c>
    </row>
    <row r="353" spans="1:12" ht="17" x14ac:dyDescent="0.2">
      <c r="A353" s="2" t="s">
        <v>12</v>
      </c>
      <c r="B353" s="4" t="s">
        <v>65</v>
      </c>
      <c r="C353" s="4">
        <v>2022</v>
      </c>
      <c r="D353" s="4">
        <v>5</v>
      </c>
      <c r="E353" s="2" t="s">
        <v>60</v>
      </c>
      <c r="F353" s="4" t="s">
        <v>29</v>
      </c>
      <c r="G353" s="7" t="s">
        <v>30</v>
      </c>
      <c r="H353" s="4">
        <v>941</v>
      </c>
      <c r="I353" s="4">
        <v>1</v>
      </c>
      <c r="J353" s="4">
        <v>1485693</v>
      </c>
      <c r="K353" s="2">
        <v>248070</v>
      </c>
      <c r="L353" s="2">
        <v>1.734</v>
      </c>
    </row>
    <row r="354" spans="1:12" ht="17" x14ac:dyDescent="0.2">
      <c r="A354" s="2" t="s">
        <v>12</v>
      </c>
      <c r="B354" s="4" t="s">
        <v>65</v>
      </c>
      <c r="C354" s="4">
        <v>2022</v>
      </c>
      <c r="D354" s="4">
        <v>5</v>
      </c>
      <c r="E354" s="2" t="s">
        <v>28</v>
      </c>
      <c r="F354" s="4" t="s">
        <v>29</v>
      </c>
      <c r="G354" s="7" t="s">
        <v>30</v>
      </c>
      <c r="H354" s="4">
        <v>527</v>
      </c>
      <c r="I354" s="4">
        <v>1</v>
      </c>
      <c r="J354" s="4">
        <v>2290000</v>
      </c>
      <c r="K354" s="2">
        <v>10000</v>
      </c>
      <c r="L354" s="2">
        <v>2.2999999999999998</v>
      </c>
    </row>
    <row r="355" spans="1:12" ht="17" x14ac:dyDescent="0.2">
      <c r="A355" s="2" t="s">
        <v>12</v>
      </c>
      <c r="B355" s="4" t="s">
        <v>65</v>
      </c>
      <c r="C355" s="4">
        <v>2022</v>
      </c>
      <c r="D355" s="4">
        <v>5</v>
      </c>
      <c r="E355" s="2" t="s">
        <v>57</v>
      </c>
      <c r="F355" s="4" t="s">
        <v>58</v>
      </c>
      <c r="G355" s="7" t="s">
        <v>59</v>
      </c>
      <c r="H355" s="4">
        <v>11</v>
      </c>
      <c r="I355" s="4">
        <v>10</v>
      </c>
      <c r="J355" s="4">
        <v>24822</v>
      </c>
      <c r="K355" s="2">
        <v>1347518</v>
      </c>
      <c r="L355" s="2">
        <v>1.3720000000000001</v>
      </c>
    </row>
    <row r="356" spans="1:12" ht="34" x14ac:dyDescent="0.2">
      <c r="A356" s="2" t="s">
        <v>12</v>
      </c>
      <c r="B356" s="4" t="s">
        <v>65</v>
      </c>
      <c r="C356" s="4">
        <v>2022</v>
      </c>
      <c r="D356" s="4">
        <v>5</v>
      </c>
      <c r="E356" s="2" t="s">
        <v>61</v>
      </c>
      <c r="F356" s="4" t="s">
        <v>26</v>
      </c>
      <c r="G356" s="7" t="s">
        <v>62</v>
      </c>
      <c r="H356" s="4">
        <v>2</v>
      </c>
      <c r="I356" s="4">
        <v>0</v>
      </c>
      <c r="J356" s="4">
        <v>2012</v>
      </c>
      <c r="K356" s="2">
        <v>0</v>
      </c>
      <c r="L356" s="2">
        <v>2E-3</v>
      </c>
    </row>
    <row r="357" spans="1:12" ht="34" x14ac:dyDescent="0.2">
      <c r="A357" s="2" t="s">
        <v>12</v>
      </c>
      <c r="B357" s="4" t="s">
        <v>65</v>
      </c>
      <c r="C357" s="4">
        <v>2022</v>
      </c>
      <c r="D357" s="4">
        <v>5</v>
      </c>
      <c r="E357" s="2" t="s">
        <v>25</v>
      </c>
      <c r="F357" s="4" t="s">
        <v>26</v>
      </c>
      <c r="G357" s="7" t="s">
        <v>27</v>
      </c>
      <c r="H357" s="4">
        <v>7</v>
      </c>
      <c r="I357" s="4">
        <v>1</v>
      </c>
      <c r="J357" s="4">
        <v>9810</v>
      </c>
      <c r="K357" s="2">
        <v>304080</v>
      </c>
      <c r="L357" s="2">
        <v>0.314</v>
      </c>
    </row>
    <row r="358" spans="1:12" ht="17" x14ac:dyDescent="0.2">
      <c r="A358" s="2" t="s">
        <v>12</v>
      </c>
      <c r="B358" s="4" t="s">
        <v>65</v>
      </c>
      <c r="C358" s="4">
        <v>2022</v>
      </c>
      <c r="D358" s="4">
        <v>5</v>
      </c>
      <c r="E358" s="2" t="s">
        <v>34</v>
      </c>
      <c r="F358" s="4" t="s">
        <v>26</v>
      </c>
      <c r="G358" s="7" t="s">
        <v>35</v>
      </c>
      <c r="H358" s="4">
        <v>3</v>
      </c>
      <c r="I358" s="4">
        <v>1</v>
      </c>
      <c r="J358" s="4">
        <v>455</v>
      </c>
      <c r="K358" s="2">
        <v>135780</v>
      </c>
      <c r="L358" s="2">
        <v>0.13600000000000001</v>
      </c>
    </row>
    <row r="359" spans="1:12" ht="17" x14ac:dyDescent="0.2">
      <c r="A359" s="2" t="s">
        <v>12</v>
      </c>
      <c r="B359" s="4" t="s">
        <v>65</v>
      </c>
      <c r="C359" s="4">
        <v>2022</v>
      </c>
      <c r="D359" s="4">
        <v>5</v>
      </c>
      <c r="E359" s="2" t="s">
        <v>81</v>
      </c>
      <c r="F359" s="4" t="s">
        <v>82</v>
      </c>
      <c r="G359" s="7" t="s">
        <v>83</v>
      </c>
      <c r="H359" s="4">
        <v>0</v>
      </c>
      <c r="I359" s="4">
        <v>0</v>
      </c>
      <c r="J359" s="4">
        <v>0</v>
      </c>
      <c r="K359" s="2">
        <v>0</v>
      </c>
      <c r="L359" s="2">
        <v>0</v>
      </c>
    </row>
    <row r="360" spans="1:12" ht="17" x14ac:dyDescent="0.2">
      <c r="A360" s="2" t="s">
        <v>12</v>
      </c>
      <c r="B360" s="4" t="s">
        <v>65</v>
      </c>
      <c r="C360" s="4">
        <v>2022</v>
      </c>
      <c r="D360" s="4">
        <v>5</v>
      </c>
      <c r="E360" s="2" t="s">
        <v>63</v>
      </c>
      <c r="F360" s="4" t="s">
        <v>26</v>
      </c>
      <c r="G360" s="7" t="s">
        <v>64</v>
      </c>
      <c r="H360" s="4">
        <v>7</v>
      </c>
      <c r="I360" s="4">
        <v>4</v>
      </c>
      <c r="J360" s="4">
        <v>17359</v>
      </c>
      <c r="K360" s="2">
        <v>1573620</v>
      </c>
      <c r="L360" s="2">
        <v>1.591</v>
      </c>
    </row>
    <row r="361" spans="1:12" ht="17" x14ac:dyDescent="0.2">
      <c r="A361" s="2" t="s">
        <v>12</v>
      </c>
      <c r="B361" s="4" t="s">
        <v>65</v>
      </c>
      <c r="C361" s="4">
        <v>2022</v>
      </c>
      <c r="D361" s="4">
        <v>5</v>
      </c>
      <c r="E361" s="2" t="s">
        <v>77</v>
      </c>
      <c r="F361" s="4" t="s">
        <v>15</v>
      </c>
      <c r="G361" s="7" t="s">
        <v>78</v>
      </c>
      <c r="H361" s="4">
        <v>8</v>
      </c>
      <c r="I361" s="4">
        <v>0</v>
      </c>
      <c r="J361" s="4">
        <v>102</v>
      </c>
      <c r="K361" s="2">
        <v>0</v>
      </c>
      <c r="L361" s="2">
        <v>0</v>
      </c>
    </row>
    <row r="362" spans="1:12" ht="17" x14ac:dyDescent="0.2">
      <c r="A362" s="2" t="s">
        <v>12</v>
      </c>
      <c r="B362" s="4" t="s">
        <v>65</v>
      </c>
      <c r="C362" s="4">
        <v>2022</v>
      </c>
      <c r="D362" s="4">
        <v>5</v>
      </c>
      <c r="E362" s="2" t="s">
        <v>54</v>
      </c>
      <c r="F362" s="4" t="s">
        <v>55</v>
      </c>
      <c r="G362" s="7" t="s">
        <v>56</v>
      </c>
      <c r="H362" s="4">
        <v>9</v>
      </c>
      <c r="I362" s="4">
        <v>2</v>
      </c>
      <c r="J362" s="4">
        <v>18219</v>
      </c>
      <c r="K362" s="2">
        <v>28573</v>
      </c>
      <c r="L362" s="2">
        <v>4.7E-2</v>
      </c>
    </row>
    <row r="363" spans="1:12" ht="17" x14ac:dyDescent="0.2">
      <c r="A363" s="2" t="s">
        <v>12</v>
      </c>
      <c r="B363" s="4" t="s">
        <v>65</v>
      </c>
      <c r="C363" s="4">
        <v>2022</v>
      </c>
      <c r="D363" s="4">
        <v>5</v>
      </c>
      <c r="E363" s="2" t="s">
        <v>36</v>
      </c>
      <c r="F363" s="4" t="s">
        <v>15</v>
      </c>
      <c r="G363" s="7" t="s">
        <v>37</v>
      </c>
      <c r="H363" s="4">
        <v>0</v>
      </c>
      <c r="I363" s="4">
        <v>0</v>
      </c>
      <c r="J363" s="4">
        <v>0</v>
      </c>
      <c r="K363" s="2">
        <v>0</v>
      </c>
      <c r="L363" s="2">
        <v>0</v>
      </c>
    </row>
    <row r="364" spans="1:12" ht="34" x14ac:dyDescent="0.2">
      <c r="A364" s="2" t="s">
        <v>12</v>
      </c>
      <c r="B364" s="4" t="s">
        <v>65</v>
      </c>
      <c r="C364" s="4">
        <v>2022</v>
      </c>
      <c r="D364" s="4">
        <v>5</v>
      </c>
      <c r="E364" s="2" t="s">
        <v>17</v>
      </c>
      <c r="F364" s="4" t="s">
        <v>18</v>
      </c>
      <c r="G364" s="7" t="s">
        <v>19</v>
      </c>
      <c r="H364" s="4">
        <v>34</v>
      </c>
      <c r="I364" s="4">
        <v>0</v>
      </c>
      <c r="J364" s="4">
        <v>7125</v>
      </c>
      <c r="K364" s="2">
        <v>0</v>
      </c>
      <c r="L364" s="2">
        <v>7.0000000000000001E-3</v>
      </c>
    </row>
    <row r="365" spans="1:12" ht="17" x14ac:dyDescent="0.2">
      <c r="A365" s="2" t="s">
        <v>12</v>
      </c>
      <c r="B365" s="4" t="s">
        <v>65</v>
      </c>
      <c r="C365" s="4">
        <v>2022</v>
      </c>
      <c r="D365" s="4">
        <v>5</v>
      </c>
      <c r="E365" s="2" t="s">
        <v>48</v>
      </c>
      <c r="F365" s="4" t="s">
        <v>49</v>
      </c>
      <c r="G365" s="7" t="s">
        <v>50</v>
      </c>
      <c r="H365" s="4">
        <v>1</v>
      </c>
      <c r="I365" s="4">
        <v>0</v>
      </c>
      <c r="J365" s="4">
        <v>0</v>
      </c>
      <c r="K365" s="2">
        <v>0</v>
      </c>
      <c r="L365" s="2">
        <v>0</v>
      </c>
    </row>
    <row r="366" spans="1:12" ht="17" x14ac:dyDescent="0.2">
      <c r="A366" s="2" t="s">
        <v>12</v>
      </c>
      <c r="B366" s="4" t="s">
        <v>65</v>
      </c>
      <c r="C366" s="4">
        <v>2022</v>
      </c>
      <c r="D366" s="4">
        <v>5</v>
      </c>
      <c r="E366" s="2" t="s">
        <v>68</v>
      </c>
      <c r="F366" s="4" t="s">
        <v>18</v>
      </c>
      <c r="G366" s="7" t="s">
        <v>69</v>
      </c>
      <c r="H366" s="4">
        <v>11</v>
      </c>
      <c r="I366" s="4">
        <v>0</v>
      </c>
      <c r="J366" s="4">
        <v>2152</v>
      </c>
      <c r="K366" s="2">
        <v>0</v>
      </c>
      <c r="L366" s="2">
        <v>2E-3</v>
      </c>
    </row>
    <row r="367" spans="1:12" ht="17" x14ac:dyDescent="0.2">
      <c r="A367" s="2" t="s">
        <v>12</v>
      </c>
      <c r="B367" s="4" t="s">
        <v>65</v>
      </c>
      <c r="C367" s="4">
        <v>2022</v>
      </c>
      <c r="D367" s="4">
        <v>5</v>
      </c>
      <c r="E367" s="2" t="s">
        <v>51</v>
      </c>
      <c r="F367" s="4" t="s">
        <v>52</v>
      </c>
      <c r="G367" s="7" t="s">
        <v>53</v>
      </c>
      <c r="H367" s="4">
        <v>5</v>
      </c>
      <c r="I367" s="4">
        <v>11</v>
      </c>
      <c r="J367" s="4">
        <v>271</v>
      </c>
      <c r="K367" s="2">
        <v>276861</v>
      </c>
      <c r="L367" s="2">
        <v>0.27700000000000002</v>
      </c>
    </row>
    <row r="368" spans="1:12" ht="17" x14ac:dyDescent="0.2">
      <c r="A368" s="2" t="s">
        <v>12</v>
      </c>
      <c r="B368" s="4" t="s">
        <v>65</v>
      </c>
      <c r="C368" s="4">
        <v>2022</v>
      </c>
      <c r="D368" s="4">
        <v>5</v>
      </c>
      <c r="E368" s="2" t="s">
        <v>79</v>
      </c>
      <c r="F368" s="4" t="s">
        <v>71</v>
      </c>
      <c r="G368" s="7" t="s">
        <v>80</v>
      </c>
      <c r="H368" s="4">
        <v>16</v>
      </c>
      <c r="I368" s="4">
        <v>0</v>
      </c>
      <c r="J368" s="4">
        <v>4817</v>
      </c>
      <c r="K368" s="2">
        <v>0</v>
      </c>
      <c r="L368" s="2">
        <v>5.0000000000000001E-3</v>
      </c>
    </row>
    <row r="369" spans="1:12" ht="17" x14ac:dyDescent="0.2">
      <c r="A369" s="2" t="s">
        <v>12</v>
      </c>
      <c r="B369" s="4" t="s">
        <v>13</v>
      </c>
      <c r="C369" s="4">
        <v>2023</v>
      </c>
      <c r="D369" s="4">
        <v>5</v>
      </c>
      <c r="E369" s="2" t="s">
        <v>77</v>
      </c>
      <c r="F369" s="4" t="s">
        <v>15</v>
      </c>
      <c r="G369" s="7" t="s">
        <v>78</v>
      </c>
      <c r="H369" s="4">
        <v>20</v>
      </c>
      <c r="I369" s="4">
        <v>3</v>
      </c>
      <c r="J369" s="4">
        <v>6910</v>
      </c>
      <c r="K369" s="2">
        <v>222310</v>
      </c>
      <c r="L369" s="2">
        <v>0.22900000000000001</v>
      </c>
    </row>
    <row r="370" spans="1:12" ht="17" x14ac:dyDescent="0.2">
      <c r="A370" s="2" t="s">
        <v>12</v>
      </c>
      <c r="B370" s="4" t="s">
        <v>13</v>
      </c>
      <c r="C370" s="4">
        <v>2023</v>
      </c>
      <c r="D370" s="4">
        <v>5</v>
      </c>
      <c r="E370" s="2" t="s">
        <v>66</v>
      </c>
      <c r="F370" s="4" t="s">
        <v>58</v>
      </c>
      <c r="G370" s="7" t="s">
        <v>67</v>
      </c>
      <c r="H370" s="4">
        <v>2782</v>
      </c>
      <c r="I370" s="4">
        <v>17</v>
      </c>
      <c r="J370" s="4">
        <v>406452</v>
      </c>
      <c r="K370" s="2">
        <v>7139199</v>
      </c>
      <c r="L370" s="2">
        <v>7.5460000000000003</v>
      </c>
    </row>
    <row r="371" spans="1:12" ht="17" x14ac:dyDescent="0.2">
      <c r="A371" s="2" t="s">
        <v>12</v>
      </c>
      <c r="B371" s="4" t="s">
        <v>13</v>
      </c>
      <c r="C371" s="4">
        <v>2023</v>
      </c>
      <c r="D371" s="4">
        <v>5</v>
      </c>
      <c r="E371" s="2" t="s">
        <v>60</v>
      </c>
      <c r="F371" s="4" t="s">
        <v>29</v>
      </c>
      <c r="G371" s="7" t="s">
        <v>30</v>
      </c>
      <c r="H371" s="4">
        <v>1101</v>
      </c>
      <c r="I371" s="4">
        <v>2</v>
      </c>
      <c r="J371" s="4">
        <v>1988552</v>
      </c>
      <c r="K371" s="2">
        <v>717870</v>
      </c>
      <c r="L371" s="2">
        <v>2.706</v>
      </c>
    </row>
    <row r="372" spans="1:12" ht="17" x14ac:dyDescent="0.2">
      <c r="A372" s="2" t="s">
        <v>12</v>
      </c>
      <c r="B372" s="4" t="s">
        <v>13</v>
      </c>
      <c r="C372" s="4">
        <v>2023</v>
      </c>
      <c r="D372" s="4">
        <v>5</v>
      </c>
      <c r="E372" s="2" t="s">
        <v>81</v>
      </c>
      <c r="F372" s="4" t="s">
        <v>82</v>
      </c>
      <c r="G372" s="7" t="s">
        <v>83</v>
      </c>
      <c r="H372" s="4">
        <v>3</v>
      </c>
      <c r="I372" s="4">
        <v>0</v>
      </c>
      <c r="J372" s="4">
        <v>198</v>
      </c>
      <c r="K372" s="2">
        <v>0</v>
      </c>
      <c r="L372" s="2">
        <v>0</v>
      </c>
    </row>
    <row r="373" spans="1:12" ht="17" x14ac:dyDescent="0.2">
      <c r="A373" s="2" t="s">
        <v>12</v>
      </c>
      <c r="B373" s="4" t="s">
        <v>13</v>
      </c>
      <c r="C373" s="4">
        <v>2023</v>
      </c>
      <c r="D373" s="4">
        <v>5</v>
      </c>
      <c r="E373" s="2" t="s">
        <v>39</v>
      </c>
      <c r="F373" s="4" t="s">
        <v>40</v>
      </c>
      <c r="G373" s="7" t="s">
        <v>41</v>
      </c>
      <c r="L373" s="2">
        <v>0</v>
      </c>
    </row>
    <row r="374" spans="1:12" ht="17" x14ac:dyDescent="0.2">
      <c r="A374" s="2" t="s">
        <v>12</v>
      </c>
      <c r="B374" s="4" t="s">
        <v>13</v>
      </c>
      <c r="C374" s="4">
        <v>2023</v>
      </c>
      <c r="D374" s="4">
        <v>5</v>
      </c>
      <c r="E374" s="2" t="s">
        <v>36</v>
      </c>
      <c r="F374" s="4" t="s">
        <v>15</v>
      </c>
      <c r="G374" s="7" t="s">
        <v>37</v>
      </c>
      <c r="H374" s="4">
        <v>66</v>
      </c>
      <c r="I374" s="4">
        <v>1</v>
      </c>
      <c r="J374" s="4">
        <v>8653</v>
      </c>
      <c r="K374" s="2">
        <v>3930</v>
      </c>
      <c r="L374" s="2">
        <v>1.2999999999999999E-2</v>
      </c>
    </row>
    <row r="375" spans="1:12" ht="17" x14ac:dyDescent="0.2">
      <c r="A375" s="2" t="s">
        <v>12</v>
      </c>
      <c r="B375" s="4" t="s">
        <v>13</v>
      </c>
      <c r="C375" s="4">
        <v>2023</v>
      </c>
      <c r="D375" s="4">
        <v>5</v>
      </c>
      <c r="E375" s="2" t="s">
        <v>20</v>
      </c>
      <c r="F375" s="4" t="s">
        <v>21</v>
      </c>
      <c r="G375" s="7" t="s">
        <v>22</v>
      </c>
      <c r="H375" s="4">
        <v>153</v>
      </c>
      <c r="I375" s="4">
        <v>0</v>
      </c>
      <c r="J375" s="4">
        <v>15605</v>
      </c>
      <c r="K375" s="2">
        <v>0</v>
      </c>
      <c r="L375" s="2">
        <v>1.6E-2</v>
      </c>
    </row>
    <row r="376" spans="1:12" ht="17" x14ac:dyDescent="0.2">
      <c r="A376" s="2" t="s">
        <v>12</v>
      </c>
      <c r="B376" s="4" t="s">
        <v>13</v>
      </c>
      <c r="C376" s="4">
        <v>2023</v>
      </c>
      <c r="D376" s="4">
        <v>5</v>
      </c>
      <c r="E376" s="2" t="s">
        <v>14</v>
      </c>
      <c r="F376" s="4" t="s">
        <v>15</v>
      </c>
      <c r="G376" s="7" t="s">
        <v>16</v>
      </c>
      <c r="H376" s="4">
        <v>8</v>
      </c>
      <c r="I376" s="4">
        <v>2</v>
      </c>
      <c r="J376" s="4">
        <v>3238</v>
      </c>
      <c r="K376" s="2">
        <v>210</v>
      </c>
      <c r="L376" s="2">
        <v>3.0000000000000001E-3</v>
      </c>
    </row>
    <row r="377" spans="1:12" ht="17" x14ac:dyDescent="0.2">
      <c r="A377" s="2" t="s">
        <v>12</v>
      </c>
      <c r="B377" s="4" t="s">
        <v>13</v>
      </c>
      <c r="C377" s="4">
        <v>2023</v>
      </c>
      <c r="D377" s="4">
        <v>5</v>
      </c>
      <c r="E377" s="2" t="s">
        <v>84</v>
      </c>
      <c r="F377" s="4" t="s">
        <v>85</v>
      </c>
      <c r="G377" s="7" t="s">
        <v>86</v>
      </c>
      <c r="L377" s="2">
        <v>0</v>
      </c>
    </row>
    <row r="378" spans="1:12" ht="34" x14ac:dyDescent="0.2">
      <c r="A378" s="2" t="s">
        <v>12</v>
      </c>
      <c r="B378" s="4" t="s">
        <v>13</v>
      </c>
      <c r="C378" s="4">
        <v>2023</v>
      </c>
      <c r="D378" s="4">
        <v>5</v>
      </c>
      <c r="E378" s="2" t="s">
        <v>17</v>
      </c>
      <c r="F378" s="4" t="s">
        <v>18</v>
      </c>
      <c r="G378" s="7" t="s">
        <v>19</v>
      </c>
      <c r="H378" s="4">
        <v>65</v>
      </c>
      <c r="I378" s="4">
        <v>0</v>
      </c>
      <c r="J378" s="4">
        <v>19666</v>
      </c>
      <c r="K378" s="2">
        <v>0</v>
      </c>
      <c r="L378" s="2">
        <v>0.02</v>
      </c>
    </row>
    <row r="379" spans="1:12" ht="17" x14ac:dyDescent="0.2">
      <c r="A379" s="2" t="s">
        <v>12</v>
      </c>
      <c r="B379" s="4" t="s">
        <v>13</v>
      </c>
      <c r="C379" s="4">
        <v>2023</v>
      </c>
      <c r="D379" s="4">
        <v>5</v>
      </c>
      <c r="F379" s="4" t="s">
        <v>94</v>
      </c>
      <c r="G379" s="7" t="s">
        <v>95</v>
      </c>
      <c r="H379" s="4">
        <v>15</v>
      </c>
      <c r="I379" s="4">
        <v>6</v>
      </c>
      <c r="J379" s="4">
        <v>30602</v>
      </c>
      <c r="K379" s="2">
        <v>611232</v>
      </c>
      <c r="L379" s="2">
        <v>0.64200000000000002</v>
      </c>
    </row>
    <row r="380" spans="1:12" ht="17" x14ac:dyDescent="0.2">
      <c r="A380" s="2" t="s">
        <v>12</v>
      </c>
      <c r="B380" s="4" t="s">
        <v>13</v>
      </c>
      <c r="C380" s="4">
        <v>2023</v>
      </c>
      <c r="D380" s="4">
        <v>5</v>
      </c>
      <c r="E380" s="2" t="s">
        <v>68</v>
      </c>
      <c r="F380" s="4" t="s">
        <v>18</v>
      </c>
      <c r="G380" s="7" t="s">
        <v>69</v>
      </c>
      <c r="H380" s="4">
        <v>28</v>
      </c>
      <c r="I380" s="4">
        <v>7</v>
      </c>
      <c r="J380" s="4">
        <v>9807</v>
      </c>
      <c r="K380" s="2">
        <v>613092</v>
      </c>
      <c r="L380" s="2">
        <v>0.623</v>
      </c>
    </row>
    <row r="381" spans="1:12" ht="17" x14ac:dyDescent="0.2">
      <c r="A381" s="2" t="s">
        <v>12</v>
      </c>
      <c r="B381" s="4" t="s">
        <v>13</v>
      </c>
      <c r="C381" s="4">
        <v>2023</v>
      </c>
      <c r="D381" s="4">
        <v>5</v>
      </c>
      <c r="E381" s="2" t="s">
        <v>48</v>
      </c>
      <c r="F381" s="4" t="s">
        <v>49</v>
      </c>
      <c r="G381" s="7" t="s">
        <v>50</v>
      </c>
      <c r="L381" s="2">
        <v>0</v>
      </c>
    </row>
    <row r="382" spans="1:12" ht="17" x14ac:dyDescent="0.2">
      <c r="A382" s="2" t="s">
        <v>12</v>
      </c>
      <c r="B382" s="4" t="s">
        <v>13</v>
      </c>
      <c r="C382" s="4">
        <v>2023</v>
      </c>
      <c r="D382" s="4">
        <v>5</v>
      </c>
      <c r="E382" s="2" t="s">
        <v>23</v>
      </c>
      <c r="F382" s="4" t="s">
        <v>15</v>
      </c>
      <c r="G382" s="7" t="s">
        <v>24</v>
      </c>
      <c r="L382" s="2">
        <v>0</v>
      </c>
    </row>
    <row r="383" spans="1:12" ht="17" x14ac:dyDescent="0.2">
      <c r="A383" s="2" t="s">
        <v>12</v>
      </c>
      <c r="B383" s="4" t="s">
        <v>13</v>
      </c>
      <c r="C383" s="4">
        <v>2023</v>
      </c>
      <c r="D383" s="4">
        <v>5</v>
      </c>
      <c r="E383" s="2" t="s">
        <v>79</v>
      </c>
      <c r="F383" s="4" t="s">
        <v>71</v>
      </c>
      <c r="G383" s="7" t="s">
        <v>80</v>
      </c>
      <c r="H383" s="4">
        <v>79</v>
      </c>
      <c r="I383" s="4">
        <v>7</v>
      </c>
      <c r="J383" s="4">
        <v>53000</v>
      </c>
      <c r="K383" s="2">
        <v>243000</v>
      </c>
      <c r="L383" s="2">
        <v>0.29599999999999999</v>
      </c>
    </row>
    <row r="384" spans="1:12" ht="17" x14ac:dyDescent="0.2">
      <c r="A384" s="2" t="s">
        <v>12</v>
      </c>
      <c r="B384" s="4" t="s">
        <v>13</v>
      </c>
      <c r="C384" s="4">
        <v>2023</v>
      </c>
      <c r="D384" s="4">
        <v>5</v>
      </c>
      <c r="E384" s="2" t="s">
        <v>92</v>
      </c>
      <c r="F384" s="4" t="s">
        <v>75</v>
      </c>
      <c r="G384" s="7" t="s">
        <v>93</v>
      </c>
      <c r="H384" s="4">
        <v>55</v>
      </c>
      <c r="I384" s="4">
        <v>0</v>
      </c>
      <c r="J384" s="4">
        <v>793162</v>
      </c>
      <c r="K384" s="2">
        <v>0</v>
      </c>
      <c r="L384" s="2">
        <v>0.79300000000000004</v>
      </c>
    </row>
    <row r="385" spans="1:12" ht="17" x14ac:dyDescent="0.2">
      <c r="A385" s="2" t="s">
        <v>12</v>
      </c>
      <c r="B385" s="4" t="s">
        <v>13</v>
      </c>
      <c r="C385" s="4">
        <v>2023</v>
      </c>
      <c r="D385" s="4">
        <v>5</v>
      </c>
      <c r="E385" s="2" t="s">
        <v>54</v>
      </c>
      <c r="F385" s="4" t="s">
        <v>55</v>
      </c>
      <c r="G385" s="7" t="s">
        <v>56</v>
      </c>
      <c r="H385" s="4">
        <v>78</v>
      </c>
      <c r="I385" s="4">
        <v>4</v>
      </c>
      <c r="J385" s="4">
        <v>131088</v>
      </c>
      <c r="K385" s="2">
        <v>17834</v>
      </c>
      <c r="L385" s="2">
        <v>0.14899999999999999</v>
      </c>
    </row>
    <row r="386" spans="1:12" ht="34" x14ac:dyDescent="0.2">
      <c r="A386" s="2" t="s">
        <v>12</v>
      </c>
      <c r="B386" s="4" t="s">
        <v>13</v>
      </c>
      <c r="C386" s="4">
        <v>2023</v>
      </c>
      <c r="D386" s="4">
        <v>5</v>
      </c>
      <c r="E386" s="2" t="s">
        <v>70</v>
      </c>
      <c r="F386" s="4" t="s">
        <v>71</v>
      </c>
      <c r="G386" s="7" t="s">
        <v>72</v>
      </c>
      <c r="H386" s="4">
        <v>32</v>
      </c>
      <c r="I386" s="4">
        <v>0</v>
      </c>
      <c r="J386" s="4">
        <v>13637</v>
      </c>
      <c r="K386" s="2">
        <v>0</v>
      </c>
      <c r="L386" s="2">
        <v>1.4E-2</v>
      </c>
    </row>
    <row r="387" spans="1:12" ht="17" x14ac:dyDescent="0.2">
      <c r="A387" s="2" t="s">
        <v>12</v>
      </c>
      <c r="B387" s="4" t="s">
        <v>13</v>
      </c>
      <c r="C387" s="4">
        <v>2023</v>
      </c>
      <c r="D387" s="4">
        <v>5</v>
      </c>
      <c r="E387" s="2" t="s">
        <v>51</v>
      </c>
      <c r="F387" s="4" t="s">
        <v>52</v>
      </c>
      <c r="G387" s="7" t="s">
        <v>53</v>
      </c>
      <c r="H387" s="4">
        <v>12</v>
      </c>
      <c r="I387" s="4">
        <v>11</v>
      </c>
      <c r="J387" s="4">
        <v>3938</v>
      </c>
      <c r="K387" s="2">
        <v>246234</v>
      </c>
      <c r="L387" s="2">
        <v>0.25</v>
      </c>
    </row>
    <row r="388" spans="1:12" ht="17" x14ac:dyDescent="0.2">
      <c r="A388" s="2" t="s">
        <v>12</v>
      </c>
      <c r="B388" s="4" t="s">
        <v>13</v>
      </c>
      <c r="C388" s="4">
        <v>2023</v>
      </c>
      <c r="D388" s="4">
        <v>5</v>
      </c>
      <c r="E388" s="2" t="s">
        <v>74</v>
      </c>
      <c r="F388" s="4" t="s">
        <v>75</v>
      </c>
      <c r="G388" s="7" t="s">
        <v>89</v>
      </c>
      <c r="H388" s="4">
        <v>8</v>
      </c>
      <c r="I388" s="4">
        <v>0</v>
      </c>
      <c r="J388" s="4">
        <v>12393</v>
      </c>
      <c r="K388" s="2">
        <v>0</v>
      </c>
      <c r="L388" s="2">
        <v>1.2E-2</v>
      </c>
    </row>
    <row r="389" spans="1:12" ht="17" x14ac:dyDescent="0.2">
      <c r="A389" s="2" t="s">
        <v>12</v>
      </c>
      <c r="B389" s="4" t="s">
        <v>13</v>
      </c>
      <c r="C389" s="4">
        <v>2023</v>
      </c>
      <c r="D389" s="4">
        <v>5</v>
      </c>
      <c r="E389" s="2" t="s">
        <v>73</v>
      </c>
      <c r="F389" s="4" t="s">
        <v>29</v>
      </c>
      <c r="G389" s="7" t="s">
        <v>30</v>
      </c>
      <c r="H389" s="4">
        <v>1709</v>
      </c>
      <c r="I389" s="4">
        <v>2</v>
      </c>
      <c r="J389" s="4">
        <v>4145784</v>
      </c>
      <c r="K389" s="2">
        <v>1008822</v>
      </c>
      <c r="L389" s="2">
        <v>5.1550000000000002</v>
      </c>
    </row>
    <row r="390" spans="1:12" ht="17" x14ac:dyDescent="0.2">
      <c r="A390" s="2" t="s">
        <v>12</v>
      </c>
      <c r="B390" s="4" t="s">
        <v>13</v>
      </c>
      <c r="C390" s="4">
        <v>2023</v>
      </c>
      <c r="D390" s="4">
        <v>5</v>
      </c>
      <c r="E390" s="2" t="s">
        <v>90</v>
      </c>
      <c r="F390" s="4" t="s">
        <v>85</v>
      </c>
      <c r="G390" s="7" t="s">
        <v>91</v>
      </c>
      <c r="H390" s="4">
        <v>136</v>
      </c>
      <c r="I390" s="4">
        <v>8</v>
      </c>
      <c r="J390" s="4">
        <v>309838</v>
      </c>
      <c r="K390" s="2">
        <v>90443</v>
      </c>
      <c r="L390" s="2">
        <v>0.4</v>
      </c>
    </row>
    <row r="391" spans="1:12" ht="17" x14ac:dyDescent="0.2">
      <c r="A391" s="2" t="s">
        <v>12</v>
      </c>
      <c r="B391" s="4" t="s">
        <v>13</v>
      </c>
      <c r="C391" s="4">
        <v>2023</v>
      </c>
      <c r="D391" s="4">
        <v>5</v>
      </c>
      <c r="E391" s="2" t="s">
        <v>45</v>
      </c>
      <c r="F391" s="4" t="s">
        <v>46</v>
      </c>
      <c r="G391" s="7" t="s">
        <v>47</v>
      </c>
      <c r="H391" s="4">
        <v>264</v>
      </c>
      <c r="I391" s="4">
        <v>4</v>
      </c>
      <c r="J391" s="4">
        <v>110296</v>
      </c>
      <c r="K391" s="2">
        <v>27540</v>
      </c>
      <c r="L391" s="2">
        <v>0.13800000000000001</v>
      </c>
    </row>
    <row r="392" spans="1:12" ht="17" x14ac:dyDescent="0.2">
      <c r="A392" s="2" t="s">
        <v>12</v>
      </c>
      <c r="B392" s="4" t="s">
        <v>13</v>
      </c>
      <c r="C392" s="4">
        <v>2023</v>
      </c>
      <c r="D392" s="4">
        <v>5</v>
      </c>
      <c r="E392" s="2" t="s">
        <v>87</v>
      </c>
      <c r="F392" s="4" t="s">
        <v>85</v>
      </c>
      <c r="G392" s="7" t="s">
        <v>88</v>
      </c>
      <c r="H392" s="4">
        <v>26</v>
      </c>
      <c r="I392" s="4">
        <v>0</v>
      </c>
      <c r="J392" s="4">
        <v>17285</v>
      </c>
      <c r="K392" s="2">
        <v>0</v>
      </c>
      <c r="L392" s="2">
        <v>1.7000000000000001E-2</v>
      </c>
    </row>
    <row r="393" spans="1:12" ht="34" x14ac:dyDescent="0.2">
      <c r="A393" s="2" t="s">
        <v>12</v>
      </c>
      <c r="B393" s="4" t="s">
        <v>13</v>
      </c>
      <c r="C393" s="4">
        <v>2023</v>
      </c>
      <c r="D393" s="4">
        <v>5</v>
      </c>
      <c r="E393" s="2" t="s">
        <v>61</v>
      </c>
      <c r="F393" s="4" t="s">
        <v>26</v>
      </c>
      <c r="G393" s="7" t="s">
        <v>62</v>
      </c>
      <c r="H393" s="4">
        <v>21</v>
      </c>
      <c r="I393" s="4">
        <v>0</v>
      </c>
      <c r="J393" s="4">
        <v>12704</v>
      </c>
      <c r="K393" s="2">
        <v>0</v>
      </c>
      <c r="L393" s="2">
        <v>1.2999999999999999E-2</v>
      </c>
    </row>
    <row r="394" spans="1:12" ht="17" x14ac:dyDescent="0.2">
      <c r="A394" s="2" t="s">
        <v>12</v>
      </c>
      <c r="B394" s="4" t="s">
        <v>13</v>
      </c>
      <c r="C394" s="4">
        <v>2023</v>
      </c>
      <c r="D394" s="4">
        <v>5</v>
      </c>
      <c r="E394" s="2" t="s">
        <v>38</v>
      </c>
      <c r="F394" s="4" t="s">
        <v>21</v>
      </c>
      <c r="G394" s="7" t="s">
        <v>22</v>
      </c>
      <c r="H394" s="4">
        <v>136</v>
      </c>
      <c r="I394" s="4">
        <v>2</v>
      </c>
      <c r="J394" s="4">
        <v>65876</v>
      </c>
      <c r="K394" s="2">
        <v>230952</v>
      </c>
      <c r="L394" s="2">
        <v>0.29699999999999999</v>
      </c>
    </row>
    <row r="395" spans="1:12" ht="34" x14ac:dyDescent="0.2">
      <c r="A395" s="2" t="s">
        <v>12</v>
      </c>
      <c r="B395" s="4" t="s">
        <v>13</v>
      </c>
      <c r="C395" s="4">
        <v>2023</v>
      </c>
      <c r="D395" s="4">
        <v>5</v>
      </c>
      <c r="E395" s="2" t="s">
        <v>25</v>
      </c>
      <c r="F395" s="4" t="s">
        <v>26</v>
      </c>
      <c r="G395" s="7" t="s">
        <v>27</v>
      </c>
      <c r="H395" s="4">
        <v>48</v>
      </c>
      <c r="I395" s="4">
        <v>12</v>
      </c>
      <c r="J395" s="4">
        <v>27378</v>
      </c>
      <c r="K395" s="2">
        <v>1248799</v>
      </c>
      <c r="L395" s="2">
        <v>1.276</v>
      </c>
    </row>
    <row r="396" spans="1:12" ht="17" x14ac:dyDescent="0.2">
      <c r="A396" s="2" t="s">
        <v>12</v>
      </c>
      <c r="B396" s="4" t="s">
        <v>13</v>
      </c>
      <c r="C396" s="4">
        <v>2023</v>
      </c>
      <c r="D396" s="4">
        <v>5</v>
      </c>
      <c r="E396" s="2" t="s">
        <v>28</v>
      </c>
      <c r="F396" s="4" t="s">
        <v>29</v>
      </c>
      <c r="G396" s="7" t="s">
        <v>30</v>
      </c>
      <c r="H396" s="4">
        <v>628</v>
      </c>
      <c r="I396" s="4">
        <v>2</v>
      </c>
      <c r="J396" s="4">
        <v>3320000</v>
      </c>
      <c r="K396" s="2">
        <v>1290000</v>
      </c>
      <c r="L396" s="2">
        <v>4.6100000000000003</v>
      </c>
    </row>
    <row r="397" spans="1:12" ht="17" x14ac:dyDescent="0.2">
      <c r="A397" s="2" t="s">
        <v>12</v>
      </c>
      <c r="B397" s="4" t="s">
        <v>13</v>
      </c>
      <c r="C397" s="4">
        <v>2023</v>
      </c>
      <c r="D397" s="4">
        <v>5</v>
      </c>
      <c r="E397" s="2" t="s">
        <v>57</v>
      </c>
      <c r="F397" s="4" t="s">
        <v>58</v>
      </c>
      <c r="G397" s="7" t="s">
        <v>59</v>
      </c>
      <c r="H397" s="4">
        <v>30</v>
      </c>
      <c r="I397" s="4">
        <v>20</v>
      </c>
      <c r="J397" s="4">
        <v>102494</v>
      </c>
      <c r="K397" s="2">
        <v>1745558</v>
      </c>
      <c r="L397" s="2">
        <v>1.8480000000000001</v>
      </c>
    </row>
    <row r="398" spans="1:12" ht="17" x14ac:dyDescent="0.2">
      <c r="A398" s="2" t="s">
        <v>12</v>
      </c>
      <c r="B398" s="4" t="s">
        <v>13</v>
      </c>
      <c r="C398" s="4">
        <v>2023</v>
      </c>
      <c r="D398" s="4">
        <v>5</v>
      </c>
      <c r="E398" s="2" t="s">
        <v>34</v>
      </c>
      <c r="F398" s="4" t="s">
        <v>26</v>
      </c>
      <c r="G398" s="7" t="s">
        <v>35</v>
      </c>
      <c r="H398" s="4">
        <v>19</v>
      </c>
      <c r="I398" s="4">
        <v>3</v>
      </c>
      <c r="J398" s="4">
        <v>17529</v>
      </c>
      <c r="K398" s="2">
        <v>490158</v>
      </c>
      <c r="L398" s="2">
        <v>0.50800000000000001</v>
      </c>
    </row>
    <row r="399" spans="1:12" ht="17" x14ac:dyDescent="0.2">
      <c r="A399" s="2" t="s">
        <v>12</v>
      </c>
      <c r="B399" s="4" t="s">
        <v>13</v>
      </c>
      <c r="C399" s="4">
        <v>2023</v>
      </c>
      <c r="D399" s="4">
        <v>5</v>
      </c>
      <c r="E399" s="2" t="s">
        <v>63</v>
      </c>
      <c r="F399" s="4" t="s">
        <v>26</v>
      </c>
      <c r="G399" s="7" t="s">
        <v>64</v>
      </c>
      <c r="H399" s="4">
        <v>17</v>
      </c>
      <c r="I399" s="4">
        <v>6</v>
      </c>
      <c r="J399" s="4">
        <v>10699</v>
      </c>
      <c r="K399" s="2">
        <v>1867100</v>
      </c>
      <c r="L399" s="2">
        <v>1.8779999999999999</v>
      </c>
    </row>
    <row r="400" spans="1:12" ht="34" x14ac:dyDescent="0.2">
      <c r="A400" s="2" t="s">
        <v>12</v>
      </c>
      <c r="B400" s="4" t="s">
        <v>65</v>
      </c>
      <c r="C400" s="4">
        <v>2022</v>
      </c>
      <c r="D400" s="4">
        <v>11</v>
      </c>
      <c r="E400" s="2" t="s">
        <v>70</v>
      </c>
      <c r="F400" s="4" t="s">
        <v>71</v>
      </c>
      <c r="G400" s="7" t="s">
        <v>72</v>
      </c>
      <c r="H400" s="4">
        <v>18</v>
      </c>
      <c r="I400" s="4">
        <v>0</v>
      </c>
      <c r="J400" s="4">
        <v>1611</v>
      </c>
      <c r="K400" s="2">
        <v>0</v>
      </c>
      <c r="L400" s="2">
        <v>2E-3</v>
      </c>
    </row>
    <row r="401" spans="1:12" ht="17" x14ac:dyDescent="0.2">
      <c r="A401" s="2" t="s">
        <v>12</v>
      </c>
      <c r="B401" s="4" t="s">
        <v>65</v>
      </c>
      <c r="C401" s="4">
        <v>2022</v>
      </c>
      <c r="D401" s="4">
        <v>11</v>
      </c>
      <c r="E401" s="2" t="s">
        <v>63</v>
      </c>
      <c r="F401" s="4" t="s">
        <v>26</v>
      </c>
      <c r="G401" s="7" t="s">
        <v>64</v>
      </c>
      <c r="H401" s="4">
        <v>9</v>
      </c>
      <c r="I401" s="4">
        <v>6</v>
      </c>
      <c r="J401" s="4">
        <v>7638</v>
      </c>
      <c r="K401" s="2">
        <v>1555130</v>
      </c>
      <c r="L401" s="2">
        <v>1.5629999999999999</v>
      </c>
    </row>
    <row r="402" spans="1:12" ht="34" x14ac:dyDescent="0.2">
      <c r="A402" s="2" t="s">
        <v>12</v>
      </c>
      <c r="B402" s="4" t="s">
        <v>65</v>
      </c>
      <c r="C402" s="4">
        <v>2022</v>
      </c>
      <c r="D402" s="4">
        <v>11</v>
      </c>
      <c r="E402" s="2" t="s">
        <v>25</v>
      </c>
      <c r="F402" s="4" t="s">
        <v>26</v>
      </c>
      <c r="G402" s="7" t="s">
        <v>27</v>
      </c>
      <c r="H402" s="4">
        <v>21</v>
      </c>
      <c r="I402" s="4">
        <v>2</v>
      </c>
      <c r="J402" s="4">
        <v>23128</v>
      </c>
      <c r="K402" s="2">
        <v>663690</v>
      </c>
      <c r="L402" s="2">
        <v>0.68700000000000006</v>
      </c>
    </row>
    <row r="403" spans="1:12" ht="17" x14ac:dyDescent="0.2">
      <c r="A403" s="2" t="s">
        <v>12</v>
      </c>
      <c r="B403" s="4" t="s">
        <v>65</v>
      </c>
      <c r="C403" s="4">
        <v>2022</v>
      </c>
      <c r="D403" s="4">
        <v>11</v>
      </c>
      <c r="E403" s="2" t="s">
        <v>51</v>
      </c>
      <c r="F403" s="4" t="s">
        <v>52</v>
      </c>
      <c r="G403" s="7" t="s">
        <v>53</v>
      </c>
      <c r="H403" s="4">
        <v>5</v>
      </c>
      <c r="I403" s="4">
        <v>11</v>
      </c>
      <c r="J403" s="4">
        <v>290</v>
      </c>
      <c r="K403" s="2">
        <v>240190</v>
      </c>
      <c r="L403" s="2">
        <v>0.24</v>
      </c>
    </row>
    <row r="404" spans="1:12" ht="17" x14ac:dyDescent="0.2">
      <c r="A404" s="2" t="s">
        <v>12</v>
      </c>
      <c r="B404" s="4" t="s">
        <v>65</v>
      </c>
      <c r="C404" s="4">
        <v>2022</v>
      </c>
      <c r="D404" s="4">
        <v>11</v>
      </c>
      <c r="E404" s="2" t="s">
        <v>60</v>
      </c>
      <c r="F404" s="4" t="s">
        <v>29</v>
      </c>
      <c r="G404" s="7" t="s">
        <v>30</v>
      </c>
      <c r="H404" s="4">
        <v>987</v>
      </c>
      <c r="I404" s="4">
        <v>2</v>
      </c>
      <c r="J404" s="4">
        <v>2166170</v>
      </c>
      <c r="K404" s="2">
        <v>580410</v>
      </c>
      <c r="L404" s="2">
        <v>2.7469999999999999</v>
      </c>
    </row>
    <row r="405" spans="1:12" ht="34" x14ac:dyDescent="0.2">
      <c r="A405" s="2" t="s">
        <v>12</v>
      </c>
      <c r="B405" s="4" t="s">
        <v>65</v>
      </c>
      <c r="C405" s="4">
        <v>2022</v>
      </c>
      <c r="D405" s="4">
        <v>11</v>
      </c>
      <c r="E405" s="2" t="s">
        <v>61</v>
      </c>
      <c r="F405" s="4" t="s">
        <v>26</v>
      </c>
      <c r="G405" s="7" t="s">
        <v>62</v>
      </c>
      <c r="H405" s="4">
        <v>9</v>
      </c>
      <c r="I405" s="4">
        <v>0</v>
      </c>
      <c r="J405" s="4">
        <v>2982</v>
      </c>
      <c r="K405" s="2">
        <v>0</v>
      </c>
      <c r="L405" s="2">
        <v>3.0000000000000001E-3</v>
      </c>
    </row>
    <row r="406" spans="1:12" ht="17" x14ac:dyDescent="0.2">
      <c r="A406" s="2" t="s">
        <v>12</v>
      </c>
      <c r="B406" s="4" t="s">
        <v>65</v>
      </c>
      <c r="C406" s="4">
        <v>2022</v>
      </c>
      <c r="D406" s="4">
        <v>11</v>
      </c>
      <c r="E406" s="2" t="s">
        <v>57</v>
      </c>
      <c r="F406" s="4" t="s">
        <v>58</v>
      </c>
      <c r="G406" s="7" t="s">
        <v>59</v>
      </c>
      <c r="H406" s="4">
        <v>12</v>
      </c>
      <c r="I406" s="4">
        <v>10</v>
      </c>
      <c r="J406" s="4">
        <v>34366</v>
      </c>
      <c r="K406" s="2">
        <v>1533814</v>
      </c>
      <c r="L406" s="2">
        <v>1.5680000000000001</v>
      </c>
    </row>
    <row r="407" spans="1:12" ht="17" x14ac:dyDescent="0.2">
      <c r="A407" s="2" t="s">
        <v>12</v>
      </c>
      <c r="B407" s="4" t="s">
        <v>65</v>
      </c>
      <c r="C407" s="4">
        <v>2022</v>
      </c>
      <c r="D407" s="4">
        <v>11</v>
      </c>
      <c r="E407" s="2" t="s">
        <v>42</v>
      </c>
      <c r="F407" s="4" t="s">
        <v>43</v>
      </c>
      <c r="G407" s="7" t="s">
        <v>100</v>
      </c>
      <c r="H407" s="4">
        <v>4</v>
      </c>
      <c r="I407" s="4">
        <v>0</v>
      </c>
      <c r="J407" s="4">
        <v>367</v>
      </c>
      <c r="K407" s="2">
        <v>0</v>
      </c>
      <c r="L407" s="2">
        <v>0</v>
      </c>
    </row>
    <row r="408" spans="1:12" ht="17" x14ac:dyDescent="0.2">
      <c r="A408" s="2" t="s">
        <v>12</v>
      </c>
      <c r="B408" s="4" t="s">
        <v>65</v>
      </c>
      <c r="C408" s="4">
        <v>2022</v>
      </c>
      <c r="D408" s="4">
        <v>11</v>
      </c>
      <c r="E408" s="2" t="s">
        <v>66</v>
      </c>
      <c r="F408" s="4" t="s">
        <v>58</v>
      </c>
      <c r="G408" s="7" t="s">
        <v>67</v>
      </c>
      <c r="H408" s="4">
        <v>2316</v>
      </c>
      <c r="I408" s="4">
        <v>11</v>
      </c>
      <c r="J408" s="4">
        <v>57598</v>
      </c>
      <c r="K408" s="2">
        <v>2559687</v>
      </c>
      <c r="L408" s="2">
        <v>2.617</v>
      </c>
    </row>
    <row r="409" spans="1:12" ht="17" x14ac:dyDescent="0.2">
      <c r="A409" s="2" t="s">
        <v>12</v>
      </c>
      <c r="B409" s="4" t="s">
        <v>65</v>
      </c>
      <c r="C409" s="4">
        <v>2022</v>
      </c>
      <c r="D409" s="4">
        <v>11</v>
      </c>
      <c r="E409" s="2" t="s">
        <v>36</v>
      </c>
      <c r="F409" s="4" t="s">
        <v>15</v>
      </c>
      <c r="G409" s="7" t="s">
        <v>37</v>
      </c>
      <c r="H409" s="4">
        <v>63</v>
      </c>
      <c r="I409" s="4">
        <v>0</v>
      </c>
      <c r="J409" s="4">
        <v>4297</v>
      </c>
      <c r="K409" s="2">
        <v>0</v>
      </c>
      <c r="L409" s="2">
        <v>4.0000000000000001E-3</v>
      </c>
    </row>
    <row r="410" spans="1:12" ht="17" x14ac:dyDescent="0.2">
      <c r="A410" s="2" t="s">
        <v>12</v>
      </c>
      <c r="B410" s="4" t="s">
        <v>65</v>
      </c>
      <c r="C410" s="4">
        <v>2022</v>
      </c>
      <c r="D410" s="4">
        <v>11</v>
      </c>
      <c r="E410" s="2" t="s">
        <v>73</v>
      </c>
      <c r="F410" s="4" t="s">
        <v>29</v>
      </c>
      <c r="G410" s="7" t="s">
        <v>30</v>
      </c>
      <c r="H410" s="4">
        <v>1475</v>
      </c>
      <c r="I410" s="4">
        <v>1</v>
      </c>
      <c r="J410" s="4">
        <v>2994280</v>
      </c>
      <c r="K410" s="2">
        <v>826320</v>
      </c>
      <c r="L410" s="2">
        <v>3.8210000000000002</v>
      </c>
    </row>
    <row r="411" spans="1:12" ht="17" x14ac:dyDescent="0.2">
      <c r="A411" s="2" t="s">
        <v>12</v>
      </c>
      <c r="B411" s="4" t="s">
        <v>65</v>
      </c>
      <c r="C411" s="4">
        <v>2022</v>
      </c>
      <c r="D411" s="4">
        <v>11</v>
      </c>
      <c r="E411" s="2" t="s">
        <v>74</v>
      </c>
      <c r="F411" s="4" t="s">
        <v>75</v>
      </c>
      <c r="G411" s="7" t="s">
        <v>76</v>
      </c>
      <c r="H411" s="4">
        <v>8</v>
      </c>
      <c r="I411" s="4">
        <v>0</v>
      </c>
      <c r="J411" s="4">
        <v>10384</v>
      </c>
      <c r="K411" s="2">
        <v>0</v>
      </c>
      <c r="L411" s="2">
        <v>1.0383999999999999E-2</v>
      </c>
    </row>
    <row r="412" spans="1:12" ht="17" x14ac:dyDescent="0.2">
      <c r="A412" s="2" t="s">
        <v>12</v>
      </c>
      <c r="B412" s="4" t="s">
        <v>65</v>
      </c>
      <c r="C412" s="4">
        <v>2022</v>
      </c>
      <c r="D412" s="4">
        <v>11</v>
      </c>
      <c r="E412" s="2" t="s">
        <v>79</v>
      </c>
      <c r="F412" s="4" t="s">
        <v>71</v>
      </c>
      <c r="G412" s="7" t="s">
        <v>80</v>
      </c>
      <c r="H412" s="4">
        <v>33</v>
      </c>
      <c r="I412" s="4">
        <v>5</v>
      </c>
      <c r="J412" s="4">
        <v>27339</v>
      </c>
      <c r="K412" s="2">
        <v>13289</v>
      </c>
      <c r="L412" s="2">
        <v>4.1000000000000002E-2</v>
      </c>
    </row>
    <row r="413" spans="1:12" ht="17" x14ac:dyDescent="0.2">
      <c r="A413" s="2" t="s">
        <v>12</v>
      </c>
      <c r="B413" s="4" t="s">
        <v>65</v>
      </c>
      <c r="C413" s="4">
        <v>2022</v>
      </c>
      <c r="D413" s="4">
        <v>11</v>
      </c>
      <c r="E413" s="2" t="s">
        <v>48</v>
      </c>
      <c r="F413" s="4" t="s">
        <v>49</v>
      </c>
      <c r="G413" s="7" t="s">
        <v>50</v>
      </c>
      <c r="H413" s="4">
        <v>1</v>
      </c>
      <c r="I413" s="4">
        <v>0</v>
      </c>
      <c r="J413" s="4">
        <v>0</v>
      </c>
      <c r="K413" s="2">
        <v>0</v>
      </c>
      <c r="L413" s="2">
        <v>0</v>
      </c>
    </row>
    <row r="414" spans="1:12" ht="17" x14ac:dyDescent="0.2">
      <c r="A414" s="2" t="s">
        <v>12</v>
      </c>
      <c r="B414" s="4" t="s">
        <v>65</v>
      </c>
      <c r="C414" s="4">
        <v>2022</v>
      </c>
      <c r="D414" s="4">
        <v>11</v>
      </c>
      <c r="E414" s="2" t="s">
        <v>84</v>
      </c>
      <c r="F414" s="4" t="s">
        <v>85</v>
      </c>
      <c r="G414" s="7" t="s">
        <v>86</v>
      </c>
      <c r="H414" s="4">
        <v>1</v>
      </c>
      <c r="I414" s="4">
        <v>0</v>
      </c>
      <c r="J414" s="4">
        <v>1000</v>
      </c>
      <c r="K414" s="2">
        <v>0</v>
      </c>
      <c r="L414" s="2">
        <v>1E-3</v>
      </c>
    </row>
    <row r="415" spans="1:12" ht="17" x14ac:dyDescent="0.2">
      <c r="A415" s="2" t="s">
        <v>12</v>
      </c>
      <c r="B415" s="4" t="s">
        <v>65</v>
      </c>
      <c r="C415" s="4">
        <v>2022</v>
      </c>
      <c r="D415" s="4">
        <v>11</v>
      </c>
      <c r="E415" s="2" t="s">
        <v>81</v>
      </c>
      <c r="F415" s="4" t="s">
        <v>82</v>
      </c>
      <c r="G415" s="7" t="s">
        <v>83</v>
      </c>
      <c r="H415" s="4">
        <v>1</v>
      </c>
      <c r="I415" s="4">
        <v>0</v>
      </c>
      <c r="J415" s="4">
        <v>1525</v>
      </c>
      <c r="K415" s="2">
        <v>0</v>
      </c>
      <c r="L415" s="2">
        <v>2E-3</v>
      </c>
    </row>
    <row r="416" spans="1:12" ht="17" x14ac:dyDescent="0.2">
      <c r="A416" s="2" t="s">
        <v>12</v>
      </c>
      <c r="B416" s="4" t="s">
        <v>65</v>
      </c>
      <c r="C416" s="4">
        <v>2022</v>
      </c>
      <c r="D416" s="4">
        <v>11</v>
      </c>
      <c r="E416" s="2" t="s">
        <v>38</v>
      </c>
      <c r="F416" s="4" t="s">
        <v>21</v>
      </c>
      <c r="G416" s="7" t="s">
        <v>22</v>
      </c>
      <c r="H416" s="4">
        <v>20</v>
      </c>
      <c r="I416" s="4">
        <v>0</v>
      </c>
      <c r="J416" s="4">
        <v>1631</v>
      </c>
      <c r="K416" s="2">
        <v>0</v>
      </c>
      <c r="L416" s="2">
        <v>2E-3</v>
      </c>
    </row>
    <row r="417" spans="1:12" ht="17" x14ac:dyDescent="0.2">
      <c r="A417" s="2" t="s">
        <v>12</v>
      </c>
      <c r="B417" s="4" t="s">
        <v>65</v>
      </c>
      <c r="C417" s="4">
        <v>2022</v>
      </c>
      <c r="D417" s="4">
        <v>11</v>
      </c>
      <c r="E417" s="2" t="s">
        <v>45</v>
      </c>
      <c r="F417" s="4" t="s">
        <v>46</v>
      </c>
      <c r="G417" s="7" t="s">
        <v>47</v>
      </c>
      <c r="H417" s="4">
        <v>43</v>
      </c>
      <c r="I417" s="4">
        <v>3</v>
      </c>
      <c r="J417" s="4">
        <v>47479</v>
      </c>
      <c r="K417" s="2">
        <v>31960</v>
      </c>
      <c r="L417" s="2">
        <v>7.9000000000000001E-2</v>
      </c>
    </row>
    <row r="418" spans="1:12" ht="17" x14ac:dyDescent="0.2">
      <c r="A418" s="2" t="s">
        <v>12</v>
      </c>
      <c r="B418" s="4" t="s">
        <v>65</v>
      </c>
      <c r="C418" s="4">
        <v>2022</v>
      </c>
      <c r="D418" s="4">
        <v>11</v>
      </c>
      <c r="E418" s="2" t="s">
        <v>39</v>
      </c>
      <c r="F418" s="4" t="s">
        <v>40</v>
      </c>
      <c r="G418" s="7" t="s">
        <v>41</v>
      </c>
      <c r="H418" s="4">
        <v>35</v>
      </c>
      <c r="I418" s="4">
        <v>0</v>
      </c>
      <c r="J418" s="4">
        <v>58497</v>
      </c>
      <c r="K418" s="2">
        <v>0</v>
      </c>
      <c r="L418" s="2">
        <v>5.8000000000000003E-2</v>
      </c>
    </row>
    <row r="419" spans="1:12" ht="17" x14ac:dyDescent="0.2">
      <c r="A419" s="2" t="s">
        <v>12</v>
      </c>
      <c r="B419" s="4" t="s">
        <v>65</v>
      </c>
      <c r="C419" s="4">
        <v>2022</v>
      </c>
      <c r="D419" s="4">
        <v>11</v>
      </c>
      <c r="E419" s="2" t="s">
        <v>68</v>
      </c>
      <c r="F419" s="4" t="s">
        <v>18</v>
      </c>
      <c r="G419" s="7" t="s">
        <v>69</v>
      </c>
      <c r="H419" s="4">
        <v>19</v>
      </c>
      <c r="I419" s="4">
        <v>7</v>
      </c>
      <c r="J419" s="4">
        <v>4010</v>
      </c>
      <c r="K419" s="2">
        <v>81752</v>
      </c>
      <c r="L419" s="2">
        <v>8.5999999999999993E-2</v>
      </c>
    </row>
    <row r="420" spans="1:12" ht="34" x14ac:dyDescent="0.2">
      <c r="A420" s="2" t="s">
        <v>12</v>
      </c>
      <c r="B420" s="4" t="s">
        <v>65</v>
      </c>
      <c r="C420" s="4">
        <v>2022</v>
      </c>
      <c r="D420" s="4">
        <v>11</v>
      </c>
      <c r="E420" s="2" t="s">
        <v>17</v>
      </c>
      <c r="F420" s="4" t="s">
        <v>18</v>
      </c>
      <c r="G420" s="7" t="s">
        <v>19</v>
      </c>
      <c r="H420" s="4">
        <v>45</v>
      </c>
      <c r="I420" s="4">
        <v>0</v>
      </c>
      <c r="J420" s="4">
        <v>6267</v>
      </c>
      <c r="K420" s="2">
        <v>0</v>
      </c>
      <c r="L420" s="2">
        <v>6.0000000000000001E-3</v>
      </c>
    </row>
    <row r="421" spans="1:12" ht="17" x14ac:dyDescent="0.2">
      <c r="A421" s="2" t="s">
        <v>12</v>
      </c>
      <c r="B421" s="4" t="s">
        <v>65</v>
      </c>
      <c r="C421" s="4">
        <v>2022</v>
      </c>
      <c r="D421" s="4">
        <v>11</v>
      </c>
      <c r="E421" s="2" t="s">
        <v>54</v>
      </c>
      <c r="F421" s="4" t="s">
        <v>55</v>
      </c>
      <c r="G421" s="7" t="s">
        <v>56</v>
      </c>
      <c r="H421" s="4">
        <v>30</v>
      </c>
      <c r="I421" s="4">
        <v>3</v>
      </c>
      <c r="J421" s="4">
        <v>41245</v>
      </c>
      <c r="K421" s="2">
        <v>26869</v>
      </c>
      <c r="L421" s="2">
        <v>6.8000000000000005E-2</v>
      </c>
    </row>
    <row r="422" spans="1:12" ht="17" x14ac:dyDescent="0.2">
      <c r="A422" s="2" t="s">
        <v>12</v>
      </c>
      <c r="B422" s="4" t="s">
        <v>65</v>
      </c>
      <c r="C422" s="4">
        <v>2022</v>
      </c>
      <c r="D422" s="4">
        <v>11</v>
      </c>
      <c r="E422" s="2" t="s">
        <v>28</v>
      </c>
      <c r="F422" s="4" t="s">
        <v>29</v>
      </c>
      <c r="G422" s="7" t="s">
        <v>30</v>
      </c>
      <c r="H422" s="4">
        <v>584</v>
      </c>
      <c r="I422" s="4">
        <v>2</v>
      </c>
      <c r="J422" s="4">
        <v>2680000</v>
      </c>
      <c r="K422" s="2">
        <v>880000</v>
      </c>
      <c r="L422" s="2">
        <v>3.56</v>
      </c>
    </row>
    <row r="423" spans="1:12" ht="17" x14ac:dyDescent="0.2">
      <c r="A423" s="2" t="s">
        <v>12</v>
      </c>
      <c r="B423" s="4" t="s">
        <v>65</v>
      </c>
      <c r="C423" s="4">
        <v>2022</v>
      </c>
      <c r="D423" s="4">
        <v>11</v>
      </c>
      <c r="E423" s="2" t="s">
        <v>77</v>
      </c>
      <c r="F423" s="4" t="s">
        <v>15</v>
      </c>
      <c r="G423" s="7" t="s">
        <v>78</v>
      </c>
      <c r="H423" s="4">
        <v>17</v>
      </c>
      <c r="I423" s="4">
        <v>0</v>
      </c>
      <c r="J423" s="4">
        <v>1201</v>
      </c>
      <c r="K423" s="2">
        <v>0</v>
      </c>
      <c r="L423" s="2">
        <v>1E-3</v>
      </c>
    </row>
    <row r="424" spans="1:12" ht="17" x14ac:dyDescent="0.2">
      <c r="A424" s="2" t="s">
        <v>12</v>
      </c>
      <c r="B424" s="4" t="s">
        <v>65</v>
      </c>
      <c r="C424" s="4">
        <v>2022</v>
      </c>
      <c r="D424" s="4">
        <v>11</v>
      </c>
      <c r="E424" s="2" t="s">
        <v>34</v>
      </c>
      <c r="F424" s="4" t="s">
        <v>26</v>
      </c>
      <c r="G424" s="7" t="s">
        <v>35</v>
      </c>
      <c r="H424" s="4">
        <v>8</v>
      </c>
      <c r="I424" s="4">
        <v>3</v>
      </c>
      <c r="J424" s="4">
        <v>17370</v>
      </c>
      <c r="K424" s="2">
        <v>238780</v>
      </c>
      <c r="L424" s="2">
        <v>0.25600000000000001</v>
      </c>
    </row>
    <row r="425" spans="1:12" ht="17" x14ac:dyDescent="0.2">
      <c r="A425" s="2" t="s">
        <v>12</v>
      </c>
      <c r="B425" s="4" t="s">
        <v>65</v>
      </c>
      <c r="C425" s="4">
        <v>2022</v>
      </c>
      <c r="D425" s="4">
        <v>11</v>
      </c>
      <c r="E425" s="2" t="s">
        <v>20</v>
      </c>
      <c r="F425" s="4" t="s">
        <v>21</v>
      </c>
      <c r="G425" s="7" t="s">
        <v>22</v>
      </c>
      <c r="H425" s="4">
        <v>20</v>
      </c>
      <c r="I425" s="4">
        <v>0</v>
      </c>
      <c r="J425" s="4">
        <v>1631</v>
      </c>
      <c r="K425" s="2">
        <v>0</v>
      </c>
      <c r="L425" s="2">
        <v>2E-3</v>
      </c>
    </row>
    <row r="426" spans="1:12" ht="17" x14ac:dyDescent="0.2">
      <c r="A426" s="2" t="s">
        <v>12</v>
      </c>
      <c r="B426" s="4" t="s">
        <v>13</v>
      </c>
      <c r="C426" s="4">
        <v>2023</v>
      </c>
      <c r="D426" s="4">
        <v>11</v>
      </c>
      <c r="E426" s="2" t="s">
        <v>81</v>
      </c>
      <c r="F426" s="4" t="s">
        <v>82</v>
      </c>
      <c r="G426" s="7" t="s">
        <v>83</v>
      </c>
      <c r="H426" s="4">
        <v>5</v>
      </c>
      <c r="I426" s="4">
        <v>0</v>
      </c>
      <c r="J426" s="4">
        <v>9863</v>
      </c>
      <c r="K426" s="2">
        <v>0</v>
      </c>
      <c r="L426" s="2">
        <v>0.01</v>
      </c>
    </row>
    <row r="427" spans="1:12" ht="17" x14ac:dyDescent="0.2">
      <c r="A427" s="2" t="s">
        <v>12</v>
      </c>
      <c r="B427" s="4" t="s">
        <v>13</v>
      </c>
      <c r="C427" s="4">
        <v>2023</v>
      </c>
      <c r="D427" s="4">
        <v>11</v>
      </c>
      <c r="E427" s="2" t="s">
        <v>28</v>
      </c>
      <c r="F427" s="4" t="s">
        <v>29</v>
      </c>
      <c r="G427" s="7" t="s">
        <v>30</v>
      </c>
      <c r="H427" s="4">
        <v>725</v>
      </c>
      <c r="I427" s="4">
        <v>6</v>
      </c>
      <c r="J427" s="4">
        <v>3160000</v>
      </c>
      <c r="K427" s="2">
        <v>4520000</v>
      </c>
      <c r="L427" s="2">
        <v>7.68</v>
      </c>
    </row>
    <row r="428" spans="1:12" ht="17" x14ac:dyDescent="0.2">
      <c r="A428" s="2" t="s">
        <v>12</v>
      </c>
      <c r="B428" s="4" t="s">
        <v>13</v>
      </c>
      <c r="C428" s="4">
        <v>2023</v>
      </c>
      <c r="D428" s="4">
        <v>11</v>
      </c>
      <c r="E428" s="2" t="s">
        <v>48</v>
      </c>
      <c r="F428" s="4" t="s">
        <v>49</v>
      </c>
      <c r="G428" s="7" t="s">
        <v>50</v>
      </c>
      <c r="I428" s="4">
        <v>0</v>
      </c>
      <c r="J428" s="4">
        <v>3590</v>
      </c>
      <c r="K428" s="2">
        <v>0</v>
      </c>
      <c r="L428" s="2">
        <v>0</v>
      </c>
    </row>
    <row r="429" spans="1:12" ht="17" x14ac:dyDescent="0.2">
      <c r="A429" s="2" t="s">
        <v>12</v>
      </c>
      <c r="B429" s="4" t="s">
        <v>13</v>
      </c>
      <c r="C429" s="4">
        <v>2023</v>
      </c>
      <c r="D429" s="4">
        <v>11</v>
      </c>
      <c r="E429" s="2" t="s">
        <v>34</v>
      </c>
      <c r="F429" s="4" t="s">
        <v>26</v>
      </c>
      <c r="G429" s="7" t="s">
        <v>35</v>
      </c>
      <c r="H429" s="4">
        <v>35</v>
      </c>
      <c r="I429" s="4">
        <v>3</v>
      </c>
      <c r="J429" s="4">
        <v>46484</v>
      </c>
      <c r="K429" s="2">
        <v>238780</v>
      </c>
      <c r="L429" s="2">
        <v>0.28499999999999998</v>
      </c>
    </row>
    <row r="430" spans="1:12" ht="17" x14ac:dyDescent="0.2">
      <c r="A430" s="2" t="s">
        <v>12</v>
      </c>
      <c r="B430" s="4" t="s">
        <v>13</v>
      </c>
      <c r="C430" s="4">
        <v>2023</v>
      </c>
      <c r="D430" s="4">
        <v>11</v>
      </c>
      <c r="E430" s="2" t="s">
        <v>51</v>
      </c>
      <c r="F430" s="4" t="s">
        <v>52</v>
      </c>
      <c r="G430" s="7" t="s">
        <v>53</v>
      </c>
      <c r="H430" s="4">
        <v>12</v>
      </c>
      <c r="I430" s="4">
        <v>11</v>
      </c>
      <c r="J430" s="4">
        <v>3492</v>
      </c>
      <c r="K430" s="2">
        <v>191502</v>
      </c>
      <c r="L430" s="2">
        <v>0.19500000000000001</v>
      </c>
    </row>
    <row r="431" spans="1:12" ht="34" x14ac:dyDescent="0.2">
      <c r="A431" s="2" t="s">
        <v>12</v>
      </c>
      <c r="B431" s="4" t="s">
        <v>13</v>
      </c>
      <c r="C431" s="4">
        <v>2023</v>
      </c>
      <c r="D431" s="4">
        <v>11</v>
      </c>
      <c r="E431" s="2" t="s">
        <v>61</v>
      </c>
      <c r="F431" s="4" t="s">
        <v>26</v>
      </c>
      <c r="G431" s="7" t="s">
        <v>27</v>
      </c>
      <c r="H431" s="4">
        <v>53</v>
      </c>
      <c r="I431" s="4">
        <v>13</v>
      </c>
      <c r="J431" s="4">
        <v>51912</v>
      </c>
      <c r="K431" s="2">
        <v>1592639</v>
      </c>
      <c r="L431" s="2">
        <v>1.645</v>
      </c>
    </row>
    <row r="432" spans="1:12" ht="17" x14ac:dyDescent="0.2">
      <c r="A432" s="2" t="s">
        <v>12</v>
      </c>
      <c r="B432" s="4" t="s">
        <v>13</v>
      </c>
      <c r="C432" s="4">
        <v>2023</v>
      </c>
      <c r="D432" s="4">
        <v>11</v>
      </c>
      <c r="E432" s="2" t="s">
        <v>23</v>
      </c>
      <c r="F432" s="4" t="s">
        <v>15</v>
      </c>
      <c r="G432" s="7" t="s">
        <v>24</v>
      </c>
      <c r="H432" s="4">
        <v>1</v>
      </c>
      <c r="I432" s="4">
        <v>0</v>
      </c>
      <c r="J432" s="4">
        <v>1933</v>
      </c>
      <c r="K432" s="2">
        <v>0</v>
      </c>
      <c r="L432" s="2">
        <v>2E-3</v>
      </c>
    </row>
    <row r="433" spans="1:12" ht="17" x14ac:dyDescent="0.2">
      <c r="A433" s="2" t="s">
        <v>12</v>
      </c>
      <c r="B433" s="4" t="s">
        <v>13</v>
      </c>
      <c r="C433" s="4">
        <v>2023</v>
      </c>
      <c r="D433" s="4">
        <v>11</v>
      </c>
      <c r="E433" s="2" t="s">
        <v>54</v>
      </c>
      <c r="F433" s="4" t="s">
        <v>55</v>
      </c>
      <c r="G433" s="7" t="s">
        <v>56</v>
      </c>
      <c r="I433" s="4">
        <v>10</v>
      </c>
      <c r="J433" s="4">
        <v>219564</v>
      </c>
      <c r="K433" s="2">
        <v>19433</v>
      </c>
      <c r="L433" s="2">
        <v>0.23899699999999999</v>
      </c>
    </row>
    <row r="434" spans="1:12" ht="34" x14ac:dyDescent="0.2">
      <c r="A434" s="2" t="s">
        <v>12</v>
      </c>
      <c r="B434" s="4" t="s">
        <v>13</v>
      </c>
      <c r="C434" s="4">
        <v>2023</v>
      </c>
      <c r="D434" s="4">
        <v>11</v>
      </c>
      <c r="E434" s="2" t="s">
        <v>61</v>
      </c>
      <c r="F434" s="4" t="s">
        <v>26</v>
      </c>
      <c r="G434" s="7" t="s">
        <v>97</v>
      </c>
      <c r="H434" s="4">
        <v>33</v>
      </c>
      <c r="I434" s="4">
        <v>0</v>
      </c>
      <c r="J434" s="4">
        <v>21119</v>
      </c>
      <c r="K434" s="2">
        <v>0</v>
      </c>
      <c r="L434" s="2">
        <v>2.1000000000000001E-2</v>
      </c>
    </row>
    <row r="435" spans="1:12" ht="34" x14ac:dyDescent="0.2">
      <c r="A435" s="2" t="s">
        <v>12</v>
      </c>
      <c r="B435" s="4" t="s">
        <v>13</v>
      </c>
      <c r="C435" s="4">
        <v>2023</v>
      </c>
      <c r="D435" s="4">
        <v>11</v>
      </c>
      <c r="E435" s="2" t="s">
        <v>17</v>
      </c>
      <c r="F435" s="4" t="s">
        <v>18</v>
      </c>
      <c r="G435" s="7" t="s">
        <v>19</v>
      </c>
      <c r="H435" s="4">
        <v>75</v>
      </c>
      <c r="I435" s="4">
        <v>0</v>
      </c>
      <c r="J435" s="4">
        <v>29338</v>
      </c>
      <c r="K435" s="2">
        <v>0</v>
      </c>
      <c r="L435" s="2">
        <v>2.9000000000000001E-2</v>
      </c>
    </row>
    <row r="436" spans="1:12" ht="17" x14ac:dyDescent="0.2">
      <c r="A436" s="2" t="s">
        <v>12</v>
      </c>
      <c r="B436" s="4" t="s">
        <v>13</v>
      </c>
      <c r="C436" s="4">
        <v>2023</v>
      </c>
      <c r="D436" s="4">
        <v>11</v>
      </c>
      <c r="E436" s="2" t="s">
        <v>57</v>
      </c>
      <c r="F436" s="4" t="s">
        <v>58</v>
      </c>
      <c r="G436" s="7" t="s">
        <v>59</v>
      </c>
      <c r="H436" s="4">
        <v>405</v>
      </c>
      <c r="I436" s="4">
        <v>40</v>
      </c>
      <c r="J436" s="4">
        <v>472803</v>
      </c>
      <c r="K436" s="2">
        <v>2030902</v>
      </c>
      <c r="L436" s="2">
        <v>2.504</v>
      </c>
    </row>
    <row r="437" spans="1:12" ht="17" x14ac:dyDescent="0.2">
      <c r="A437" s="2" t="s">
        <v>12</v>
      </c>
      <c r="B437" s="4" t="s">
        <v>13</v>
      </c>
      <c r="C437" s="4">
        <v>2023</v>
      </c>
      <c r="D437" s="4">
        <v>11</v>
      </c>
      <c r="E437" s="2" t="s">
        <v>45</v>
      </c>
      <c r="F437" s="4" t="s">
        <v>46</v>
      </c>
      <c r="G437" s="7" t="s">
        <v>47</v>
      </c>
      <c r="I437" s="4">
        <v>5</v>
      </c>
      <c r="J437" s="4">
        <v>144612</v>
      </c>
      <c r="K437" s="2">
        <v>31300</v>
      </c>
      <c r="L437" s="2">
        <v>0.17591200000000001</v>
      </c>
    </row>
    <row r="438" spans="1:12" ht="17" x14ac:dyDescent="0.2">
      <c r="A438" s="2" t="s">
        <v>12</v>
      </c>
      <c r="B438" s="4" t="s">
        <v>13</v>
      </c>
      <c r="C438" s="4">
        <v>2023</v>
      </c>
      <c r="D438" s="4">
        <v>11</v>
      </c>
      <c r="E438" s="2" t="s">
        <v>66</v>
      </c>
      <c r="F438" s="4" t="s">
        <v>58</v>
      </c>
      <c r="G438" s="7" t="s">
        <v>67</v>
      </c>
      <c r="H438" s="4">
        <v>2782</v>
      </c>
      <c r="I438" s="4">
        <v>17</v>
      </c>
      <c r="J438" s="4">
        <v>673749</v>
      </c>
      <c r="K438" s="2">
        <v>7860990</v>
      </c>
      <c r="L438" s="2">
        <v>8.5350000000000001</v>
      </c>
    </row>
    <row r="439" spans="1:12" ht="17" x14ac:dyDescent="0.2">
      <c r="A439" s="2" t="s">
        <v>12</v>
      </c>
      <c r="B439" s="4" t="s">
        <v>13</v>
      </c>
      <c r="C439" s="4">
        <v>2023</v>
      </c>
      <c r="D439" s="4">
        <v>11</v>
      </c>
      <c r="E439" s="2" t="s">
        <v>68</v>
      </c>
      <c r="F439" s="4" t="s">
        <v>18</v>
      </c>
      <c r="G439" s="7" t="s">
        <v>69</v>
      </c>
      <c r="H439" s="4">
        <v>31</v>
      </c>
      <c r="I439" s="4">
        <v>8</v>
      </c>
      <c r="J439" s="4">
        <v>15149</v>
      </c>
      <c r="K439" s="2">
        <v>1269144</v>
      </c>
      <c r="L439" s="2">
        <v>1.284</v>
      </c>
    </row>
    <row r="440" spans="1:12" ht="17" x14ac:dyDescent="0.2">
      <c r="A440" s="2" t="s">
        <v>12</v>
      </c>
      <c r="B440" s="4" t="s">
        <v>13</v>
      </c>
      <c r="C440" s="4">
        <v>2023</v>
      </c>
      <c r="D440" s="4">
        <v>11</v>
      </c>
      <c r="F440" s="4" t="s">
        <v>94</v>
      </c>
      <c r="G440" s="7" t="s">
        <v>95</v>
      </c>
      <c r="I440" s="4">
        <v>7</v>
      </c>
      <c r="J440" s="4">
        <v>80946</v>
      </c>
      <c r="K440" s="2">
        <v>670686</v>
      </c>
      <c r="L440" s="2">
        <v>0.75163199999999997</v>
      </c>
    </row>
    <row r="441" spans="1:12" ht="17" x14ac:dyDescent="0.2">
      <c r="A441" s="2" t="s">
        <v>12</v>
      </c>
      <c r="B441" s="4" t="s">
        <v>13</v>
      </c>
      <c r="C441" s="4">
        <v>2023</v>
      </c>
      <c r="D441" s="4">
        <v>11</v>
      </c>
      <c r="E441" s="2" t="s">
        <v>20</v>
      </c>
      <c r="F441" s="4" t="s">
        <v>21</v>
      </c>
      <c r="G441" s="7" t="s">
        <v>22</v>
      </c>
      <c r="H441" s="4">
        <v>234</v>
      </c>
      <c r="I441" s="4">
        <v>0</v>
      </c>
      <c r="J441" s="4">
        <v>31217</v>
      </c>
      <c r="K441" s="2">
        <v>0</v>
      </c>
      <c r="L441" s="2">
        <v>3.1E-2</v>
      </c>
    </row>
    <row r="442" spans="1:12" ht="17" x14ac:dyDescent="0.2">
      <c r="A442" s="2" t="s">
        <v>12</v>
      </c>
      <c r="B442" s="4" t="s">
        <v>13</v>
      </c>
      <c r="C442" s="4">
        <v>2023</v>
      </c>
      <c r="D442" s="4">
        <v>11</v>
      </c>
      <c r="E442" s="2" t="s">
        <v>92</v>
      </c>
      <c r="F442" s="4" t="s">
        <v>75</v>
      </c>
      <c r="G442" s="7" t="s">
        <v>93</v>
      </c>
      <c r="H442" s="4">
        <v>85</v>
      </c>
      <c r="I442" s="4">
        <v>0</v>
      </c>
      <c r="J442" s="4">
        <v>1564088</v>
      </c>
      <c r="K442" s="2">
        <v>0</v>
      </c>
      <c r="L442" s="2">
        <v>1.5640000000000001</v>
      </c>
    </row>
    <row r="443" spans="1:12" ht="17" x14ac:dyDescent="0.2">
      <c r="A443" s="2" t="s">
        <v>12</v>
      </c>
      <c r="B443" s="4" t="s">
        <v>13</v>
      </c>
      <c r="C443" s="4">
        <v>2023</v>
      </c>
      <c r="D443" s="4">
        <v>11</v>
      </c>
      <c r="E443" s="2" t="s">
        <v>36</v>
      </c>
      <c r="F443" s="4" t="s">
        <v>15</v>
      </c>
      <c r="G443" s="7" t="s">
        <v>37</v>
      </c>
      <c r="H443" s="4">
        <v>69</v>
      </c>
      <c r="I443" s="4">
        <v>2</v>
      </c>
      <c r="J443" s="4">
        <v>6883</v>
      </c>
      <c r="K443" s="2">
        <v>78120</v>
      </c>
      <c r="L443" s="2">
        <v>8.5000000000000006E-2</v>
      </c>
    </row>
    <row r="444" spans="1:12" ht="17" x14ac:dyDescent="0.2">
      <c r="A444" s="2" t="s">
        <v>12</v>
      </c>
      <c r="B444" s="4" t="s">
        <v>13</v>
      </c>
      <c r="C444" s="4">
        <v>2023</v>
      </c>
      <c r="D444" s="4">
        <v>11</v>
      </c>
      <c r="E444" s="2" t="s">
        <v>74</v>
      </c>
      <c r="F444" s="4" t="s">
        <v>75</v>
      </c>
      <c r="G444" s="7" t="s">
        <v>89</v>
      </c>
      <c r="H444" s="4">
        <v>24</v>
      </c>
      <c r="I444" s="4">
        <v>0</v>
      </c>
      <c r="J444" s="4">
        <v>42792</v>
      </c>
      <c r="K444" s="2">
        <v>0</v>
      </c>
      <c r="L444" s="2">
        <v>4.2999999999999997E-2</v>
      </c>
    </row>
    <row r="445" spans="1:12" ht="34" x14ac:dyDescent="0.2">
      <c r="A445" s="2" t="s">
        <v>12</v>
      </c>
      <c r="B445" s="4" t="s">
        <v>13</v>
      </c>
      <c r="C445" s="4">
        <v>2023</v>
      </c>
      <c r="D445" s="4">
        <v>11</v>
      </c>
      <c r="E445" s="2" t="s">
        <v>70</v>
      </c>
      <c r="F445" s="4" t="s">
        <v>71</v>
      </c>
      <c r="G445" s="7" t="s">
        <v>72</v>
      </c>
      <c r="H445" s="4">
        <v>36</v>
      </c>
      <c r="I445" s="4">
        <v>0</v>
      </c>
      <c r="J445" s="4">
        <v>12780</v>
      </c>
      <c r="K445" s="2">
        <v>0</v>
      </c>
      <c r="L445" s="2">
        <v>1.2999999999999999E-2</v>
      </c>
    </row>
    <row r="446" spans="1:12" ht="17" x14ac:dyDescent="0.2">
      <c r="A446" s="2" t="s">
        <v>12</v>
      </c>
      <c r="B446" s="4" t="s">
        <v>13</v>
      </c>
      <c r="C446" s="4">
        <v>2023</v>
      </c>
      <c r="D446" s="4">
        <v>11</v>
      </c>
      <c r="E446" s="2" t="s">
        <v>87</v>
      </c>
      <c r="F446" s="4" t="s">
        <v>85</v>
      </c>
      <c r="G446" s="7" t="s">
        <v>88</v>
      </c>
      <c r="I446" s="4">
        <v>0</v>
      </c>
      <c r="J446" s="4">
        <v>17127</v>
      </c>
      <c r="K446" s="2">
        <v>0</v>
      </c>
      <c r="L446" s="2">
        <v>1.7127E-2</v>
      </c>
    </row>
    <row r="447" spans="1:12" ht="17" x14ac:dyDescent="0.2">
      <c r="A447" s="2" t="s">
        <v>12</v>
      </c>
      <c r="B447" s="4" t="s">
        <v>13</v>
      </c>
      <c r="C447" s="4">
        <v>2023</v>
      </c>
      <c r="D447" s="4">
        <v>11</v>
      </c>
      <c r="E447" s="2" t="s">
        <v>38</v>
      </c>
      <c r="F447" s="4" t="s">
        <v>21</v>
      </c>
      <c r="G447" s="7" t="s">
        <v>22</v>
      </c>
      <c r="H447" s="4">
        <v>352</v>
      </c>
      <c r="I447" s="4">
        <v>2</v>
      </c>
      <c r="J447" s="4">
        <v>290230</v>
      </c>
      <c r="K447" s="2">
        <v>177640</v>
      </c>
      <c r="L447" s="2">
        <v>0.46800000000000003</v>
      </c>
    </row>
    <row r="448" spans="1:12" ht="17" x14ac:dyDescent="0.2">
      <c r="A448" s="2" t="s">
        <v>12</v>
      </c>
      <c r="B448" s="4" t="s">
        <v>13</v>
      </c>
      <c r="C448" s="4">
        <v>2023</v>
      </c>
      <c r="D448" s="4">
        <v>11</v>
      </c>
      <c r="E448" s="2" t="s">
        <v>84</v>
      </c>
      <c r="F448" s="4" t="s">
        <v>85</v>
      </c>
      <c r="G448" s="7" t="s">
        <v>86</v>
      </c>
      <c r="I448" s="4">
        <v>11</v>
      </c>
      <c r="J448" s="4">
        <v>430496</v>
      </c>
      <c r="K448" s="2">
        <v>83625</v>
      </c>
      <c r="L448" s="2">
        <v>0.51412100000000005</v>
      </c>
    </row>
    <row r="449" spans="1:12" ht="17" x14ac:dyDescent="0.2">
      <c r="A449" s="2" t="s">
        <v>12</v>
      </c>
      <c r="B449" s="4" t="s">
        <v>13</v>
      </c>
      <c r="C449" s="4">
        <v>2023</v>
      </c>
      <c r="D449" s="4">
        <v>11</v>
      </c>
      <c r="E449" s="2" t="s">
        <v>77</v>
      </c>
      <c r="F449" s="4" t="s">
        <v>15</v>
      </c>
      <c r="G449" s="7" t="s">
        <v>78</v>
      </c>
      <c r="H449" s="4">
        <v>26</v>
      </c>
      <c r="I449" s="4">
        <v>3</v>
      </c>
      <c r="J449" s="4">
        <v>15274</v>
      </c>
      <c r="K449" s="2">
        <v>225900</v>
      </c>
      <c r="L449" s="2">
        <v>0.24099999999999999</v>
      </c>
    </row>
    <row r="450" spans="1:12" ht="17" x14ac:dyDescent="0.2">
      <c r="A450" s="2" t="s">
        <v>12</v>
      </c>
      <c r="B450" s="4" t="s">
        <v>13</v>
      </c>
      <c r="C450" s="4">
        <v>2023</v>
      </c>
      <c r="D450" s="4">
        <v>11</v>
      </c>
      <c r="E450" s="2" t="s">
        <v>90</v>
      </c>
      <c r="F450" s="4" t="s">
        <v>85</v>
      </c>
      <c r="G450" s="7" t="s">
        <v>91</v>
      </c>
      <c r="I450" s="4">
        <v>11</v>
      </c>
      <c r="J450" s="4">
        <v>430496</v>
      </c>
      <c r="K450" s="2">
        <v>83625</v>
      </c>
      <c r="L450" s="2">
        <v>0.51412100000000005</v>
      </c>
    </row>
    <row r="451" spans="1:12" ht="17" x14ac:dyDescent="0.2">
      <c r="A451" s="2" t="s">
        <v>12</v>
      </c>
      <c r="B451" s="4" t="s">
        <v>13</v>
      </c>
      <c r="C451" s="4">
        <v>2023</v>
      </c>
      <c r="D451" s="4">
        <v>11</v>
      </c>
      <c r="E451" s="2" t="s">
        <v>98</v>
      </c>
      <c r="F451" s="4" t="s">
        <v>15</v>
      </c>
      <c r="G451" s="7" t="s">
        <v>99</v>
      </c>
      <c r="H451" s="4">
        <v>308</v>
      </c>
      <c r="I451" s="4">
        <v>0</v>
      </c>
      <c r="J451" s="4">
        <v>245073</v>
      </c>
      <c r="K451" s="2">
        <v>0</v>
      </c>
      <c r="L451" s="2">
        <v>0.245</v>
      </c>
    </row>
    <row r="452" spans="1:12" ht="17" x14ac:dyDescent="0.2">
      <c r="A452" s="2" t="s">
        <v>12</v>
      </c>
      <c r="B452" s="4" t="s">
        <v>13</v>
      </c>
      <c r="C452" s="4">
        <v>2023</v>
      </c>
      <c r="D452" s="4">
        <v>11</v>
      </c>
      <c r="E452" s="2" t="s">
        <v>60</v>
      </c>
      <c r="F452" s="4" t="s">
        <v>29</v>
      </c>
      <c r="G452" s="7" t="s">
        <v>30</v>
      </c>
      <c r="H452" s="4">
        <v>1268</v>
      </c>
      <c r="I452" s="4">
        <v>3</v>
      </c>
      <c r="J452" s="4">
        <v>2612813</v>
      </c>
      <c r="K452" s="2">
        <v>1602760</v>
      </c>
      <c r="L452" s="2">
        <v>4.2160000000000002</v>
      </c>
    </row>
    <row r="453" spans="1:12" ht="17" x14ac:dyDescent="0.2">
      <c r="A453" s="2" t="s">
        <v>12</v>
      </c>
      <c r="B453" s="4" t="s">
        <v>13</v>
      </c>
      <c r="C453" s="4">
        <v>2023</v>
      </c>
      <c r="D453" s="4">
        <v>11</v>
      </c>
      <c r="E453" s="2" t="s">
        <v>63</v>
      </c>
      <c r="F453" s="4" t="s">
        <v>26</v>
      </c>
      <c r="G453" s="7" t="s">
        <v>64</v>
      </c>
      <c r="H453" s="4">
        <v>33</v>
      </c>
      <c r="I453" s="4">
        <v>8</v>
      </c>
      <c r="J453" s="4">
        <v>19193</v>
      </c>
      <c r="K453" s="2">
        <v>1473998</v>
      </c>
      <c r="L453" s="2">
        <v>1.4930000000000001</v>
      </c>
    </row>
    <row r="454" spans="1:12" ht="17" x14ac:dyDescent="0.2">
      <c r="A454" s="2" t="s">
        <v>12</v>
      </c>
      <c r="B454" s="4" t="s">
        <v>13</v>
      </c>
      <c r="C454" s="4">
        <v>2023</v>
      </c>
      <c r="D454" s="4">
        <v>11</v>
      </c>
      <c r="E454" s="2" t="s">
        <v>73</v>
      </c>
      <c r="F454" s="4" t="s">
        <v>29</v>
      </c>
      <c r="G454" s="7" t="s">
        <v>30</v>
      </c>
      <c r="H454" s="4">
        <v>1975</v>
      </c>
      <c r="I454" s="4">
        <v>3</v>
      </c>
      <c r="J454" s="4">
        <v>4969180</v>
      </c>
      <c r="K454" s="2">
        <v>2440860</v>
      </c>
      <c r="L454" s="2">
        <v>7.41</v>
      </c>
    </row>
    <row r="455" spans="1:12" ht="17" x14ac:dyDescent="0.2">
      <c r="A455" s="2" t="s">
        <v>12</v>
      </c>
      <c r="B455" s="4" t="s">
        <v>13</v>
      </c>
      <c r="C455" s="4">
        <v>2023</v>
      </c>
      <c r="D455" s="4">
        <v>11</v>
      </c>
      <c r="E455" s="2" t="s">
        <v>79</v>
      </c>
      <c r="F455" s="4" t="s">
        <v>71</v>
      </c>
      <c r="G455" s="7" t="s">
        <v>80</v>
      </c>
      <c r="I455" s="4">
        <v>9</v>
      </c>
      <c r="J455" s="4">
        <v>90000</v>
      </c>
      <c r="K455" s="2">
        <v>320000</v>
      </c>
      <c r="L455" s="2">
        <v>0.41</v>
      </c>
    </row>
    <row r="456" spans="1:12" ht="17" x14ac:dyDescent="0.2">
      <c r="A456" s="2" t="s">
        <v>12</v>
      </c>
      <c r="B456" s="4" t="s">
        <v>65</v>
      </c>
      <c r="C456" s="4">
        <v>2022</v>
      </c>
      <c r="D456" s="4">
        <v>10</v>
      </c>
      <c r="E456" s="2" t="s">
        <v>20</v>
      </c>
      <c r="F456" s="4" t="s">
        <v>21</v>
      </c>
      <c r="G456" s="7" t="s">
        <v>22</v>
      </c>
      <c r="H456" s="4">
        <v>8</v>
      </c>
      <c r="I456" s="4">
        <v>0</v>
      </c>
      <c r="J456" s="4">
        <v>160</v>
      </c>
      <c r="K456" s="2">
        <v>0</v>
      </c>
      <c r="L456" s="2">
        <v>0</v>
      </c>
    </row>
    <row r="457" spans="1:12" ht="17" x14ac:dyDescent="0.2">
      <c r="A457" s="2" t="s">
        <v>12</v>
      </c>
      <c r="B457" s="4" t="s">
        <v>65</v>
      </c>
      <c r="C457" s="4">
        <v>2022</v>
      </c>
      <c r="D457" s="4">
        <v>10</v>
      </c>
      <c r="E457" s="2" t="s">
        <v>77</v>
      </c>
      <c r="F457" s="4" t="s">
        <v>15</v>
      </c>
      <c r="G457" s="7" t="s">
        <v>78</v>
      </c>
      <c r="H457" s="4">
        <v>11</v>
      </c>
      <c r="I457" s="4">
        <v>0</v>
      </c>
      <c r="J457" s="4">
        <v>960</v>
      </c>
      <c r="K457" s="2">
        <v>0</v>
      </c>
      <c r="L457" s="2">
        <v>1E-3</v>
      </c>
    </row>
    <row r="458" spans="1:12" ht="17" x14ac:dyDescent="0.2">
      <c r="A458" s="2" t="s">
        <v>12</v>
      </c>
      <c r="B458" s="4" t="s">
        <v>65</v>
      </c>
      <c r="C458" s="4">
        <v>2022</v>
      </c>
      <c r="D458" s="4">
        <v>10</v>
      </c>
      <c r="E458" s="2" t="s">
        <v>63</v>
      </c>
      <c r="F458" s="4" t="s">
        <v>26</v>
      </c>
      <c r="G458" s="7" t="s">
        <v>64</v>
      </c>
      <c r="H458" s="4">
        <v>9</v>
      </c>
      <c r="I458" s="4">
        <v>6</v>
      </c>
      <c r="J458" s="4">
        <v>11612</v>
      </c>
      <c r="K458" s="2">
        <v>1506831</v>
      </c>
      <c r="L458" s="2">
        <v>1.518</v>
      </c>
    </row>
    <row r="459" spans="1:12" ht="34" x14ac:dyDescent="0.2">
      <c r="A459" s="2" t="s">
        <v>12</v>
      </c>
      <c r="B459" s="4" t="s">
        <v>65</v>
      </c>
      <c r="C459" s="4">
        <v>2022</v>
      </c>
      <c r="D459" s="4">
        <v>10</v>
      </c>
      <c r="E459" s="2" t="s">
        <v>17</v>
      </c>
      <c r="F459" s="4" t="s">
        <v>18</v>
      </c>
      <c r="G459" s="7" t="s">
        <v>19</v>
      </c>
      <c r="H459" s="4">
        <v>38</v>
      </c>
      <c r="I459" s="4">
        <v>0</v>
      </c>
      <c r="J459" s="4">
        <v>5379</v>
      </c>
      <c r="K459" s="2">
        <v>0</v>
      </c>
      <c r="L459" s="2">
        <v>5.0000000000000001E-3</v>
      </c>
    </row>
    <row r="460" spans="1:12" ht="34" x14ac:dyDescent="0.2">
      <c r="A460" s="2" t="s">
        <v>12</v>
      </c>
      <c r="B460" s="4" t="s">
        <v>65</v>
      </c>
      <c r="C460" s="4">
        <v>2022</v>
      </c>
      <c r="D460" s="4">
        <v>10</v>
      </c>
      <c r="E460" s="2" t="s">
        <v>25</v>
      </c>
      <c r="F460" s="4" t="s">
        <v>26</v>
      </c>
      <c r="G460" s="7" t="s">
        <v>27</v>
      </c>
      <c r="H460" s="4">
        <v>18</v>
      </c>
      <c r="I460" s="4">
        <v>1</v>
      </c>
      <c r="J460" s="4">
        <v>16939</v>
      </c>
      <c r="K460" s="2">
        <v>627860</v>
      </c>
      <c r="L460" s="2">
        <v>0.64500000000000002</v>
      </c>
    </row>
    <row r="461" spans="1:12" x14ac:dyDescent="0.2">
      <c r="A461" s="2" t="s">
        <v>12</v>
      </c>
      <c r="B461" s="4" t="s">
        <v>65</v>
      </c>
      <c r="C461" s="4">
        <v>2022</v>
      </c>
      <c r="D461" s="4">
        <v>10</v>
      </c>
      <c r="E461" s="2" t="s">
        <v>14</v>
      </c>
      <c r="F461" s="4" t="s">
        <v>15</v>
      </c>
      <c r="H461" s="4">
        <v>1</v>
      </c>
      <c r="I461" s="4">
        <v>0</v>
      </c>
      <c r="J461" s="4">
        <v>16</v>
      </c>
      <c r="K461" s="2">
        <v>0</v>
      </c>
      <c r="L461" s="5" t="s">
        <v>101</v>
      </c>
    </row>
    <row r="462" spans="1:12" ht="17" x14ac:dyDescent="0.2">
      <c r="A462" s="2" t="s">
        <v>12</v>
      </c>
      <c r="B462" s="4" t="s">
        <v>65</v>
      </c>
      <c r="C462" s="4">
        <v>2022</v>
      </c>
      <c r="D462" s="4">
        <v>10</v>
      </c>
      <c r="E462" s="2" t="s">
        <v>39</v>
      </c>
      <c r="F462" s="4" t="s">
        <v>40</v>
      </c>
      <c r="G462" s="7" t="s">
        <v>41</v>
      </c>
      <c r="H462" s="4">
        <v>35</v>
      </c>
      <c r="I462" s="4">
        <v>0</v>
      </c>
      <c r="J462" s="4">
        <v>41485</v>
      </c>
      <c r="K462" s="2">
        <v>0</v>
      </c>
      <c r="L462" s="2">
        <v>4.1000000000000002E-2</v>
      </c>
    </row>
    <row r="463" spans="1:12" ht="17" x14ac:dyDescent="0.2">
      <c r="A463" s="2" t="s">
        <v>12</v>
      </c>
      <c r="B463" s="4" t="s">
        <v>65</v>
      </c>
      <c r="C463" s="4">
        <v>2022</v>
      </c>
      <c r="D463" s="4">
        <v>10</v>
      </c>
      <c r="E463" s="2" t="s">
        <v>54</v>
      </c>
      <c r="F463" s="4" t="s">
        <v>55</v>
      </c>
      <c r="G463" s="7" t="s">
        <v>56</v>
      </c>
      <c r="H463" s="4">
        <v>25</v>
      </c>
      <c r="I463" s="4">
        <v>2</v>
      </c>
      <c r="J463" s="4">
        <v>36632</v>
      </c>
      <c r="K463" s="2">
        <v>23912</v>
      </c>
      <c r="L463" s="2">
        <v>6.0999999999999999E-2</v>
      </c>
    </row>
    <row r="464" spans="1:12" ht="17" x14ac:dyDescent="0.2">
      <c r="A464" s="2" t="s">
        <v>12</v>
      </c>
      <c r="B464" s="4" t="s">
        <v>65</v>
      </c>
      <c r="C464" s="4">
        <v>2022</v>
      </c>
      <c r="D464" s="4">
        <v>10</v>
      </c>
      <c r="E464" s="2" t="s">
        <v>36</v>
      </c>
      <c r="F464" s="4" t="s">
        <v>15</v>
      </c>
      <c r="G464" s="7" t="s">
        <v>37</v>
      </c>
      <c r="H464" s="4">
        <v>63</v>
      </c>
      <c r="I464" s="4">
        <v>0</v>
      </c>
      <c r="J464" s="4">
        <v>5058</v>
      </c>
      <c r="K464" s="2">
        <v>0</v>
      </c>
      <c r="L464" s="2">
        <v>5.0000000000000001E-3</v>
      </c>
    </row>
    <row r="465" spans="1:12" ht="17" x14ac:dyDescent="0.2">
      <c r="A465" s="2" t="s">
        <v>12</v>
      </c>
      <c r="B465" s="4" t="s">
        <v>65</v>
      </c>
      <c r="C465" s="4">
        <v>2022</v>
      </c>
      <c r="D465" s="4">
        <v>10</v>
      </c>
      <c r="E465" s="2" t="s">
        <v>45</v>
      </c>
      <c r="F465" s="4" t="s">
        <v>46</v>
      </c>
      <c r="G465" s="7" t="s">
        <v>47</v>
      </c>
      <c r="H465" s="4">
        <v>41</v>
      </c>
      <c r="I465" s="4">
        <v>3</v>
      </c>
      <c r="J465" s="4">
        <v>40968</v>
      </c>
      <c r="K465" s="2">
        <v>30560</v>
      </c>
      <c r="L465" s="2">
        <v>7.1999999999999995E-2</v>
      </c>
    </row>
    <row r="466" spans="1:12" ht="17" x14ac:dyDescent="0.2">
      <c r="A466" s="2" t="s">
        <v>12</v>
      </c>
      <c r="B466" s="4" t="s">
        <v>65</v>
      </c>
      <c r="C466" s="4">
        <v>2022</v>
      </c>
      <c r="D466" s="4">
        <v>10</v>
      </c>
      <c r="E466" s="2" t="s">
        <v>68</v>
      </c>
      <c r="F466" s="4" t="s">
        <v>18</v>
      </c>
      <c r="G466" s="7" t="s">
        <v>69</v>
      </c>
      <c r="H466" s="4">
        <v>11</v>
      </c>
      <c r="I466" s="4">
        <v>7</v>
      </c>
      <c r="J466" s="4">
        <v>2089</v>
      </c>
      <c r="K466" s="2">
        <v>40234</v>
      </c>
      <c r="L466" s="2">
        <v>4.2000000000000003E-2</v>
      </c>
    </row>
    <row r="467" spans="1:12" ht="34" x14ac:dyDescent="0.2">
      <c r="A467" s="2" t="s">
        <v>12</v>
      </c>
      <c r="B467" s="4" t="s">
        <v>65</v>
      </c>
      <c r="C467" s="4">
        <v>2022</v>
      </c>
      <c r="D467" s="4">
        <v>10</v>
      </c>
      <c r="E467" s="2" t="s">
        <v>61</v>
      </c>
      <c r="F467" s="4" t="s">
        <v>26</v>
      </c>
      <c r="G467" s="7" t="s">
        <v>62</v>
      </c>
      <c r="H467" s="4">
        <v>9</v>
      </c>
      <c r="I467" s="4">
        <v>0</v>
      </c>
      <c r="J467" s="4">
        <v>7012</v>
      </c>
      <c r="K467" s="2">
        <v>0</v>
      </c>
      <c r="L467" s="2">
        <v>7.0000000000000001E-3</v>
      </c>
    </row>
    <row r="468" spans="1:12" ht="17" x14ac:dyDescent="0.2">
      <c r="A468" s="2" t="s">
        <v>12</v>
      </c>
      <c r="B468" s="4" t="s">
        <v>65</v>
      </c>
      <c r="C468" s="4">
        <v>2022</v>
      </c>
      <c r="D468" s="4">
        <v>10</v>
      </c>
      <c r="E468" s="2" t="s">
        <v>34</v>
      </c>
      <c r="F468" s="4" t="s">
        <v>26</v>
      </c>
      <c r="G468" s="7" t="s">
        <v>35</v>
      </c>
      <c r="H468" s="4">
        <v>7</v>
      </c>
      <c r="I468" s="4">
        <v>3</v>
      </c>
      <c r="J468" s="4">
        <v>16857</v>
      </c>
      <c r="K468" s="2">
        <v>202740</v>
      </c>
      <c r="L468" s="2">
        <v>0.22</v>
      </c>
    </row>
    <row r="469" spans="1:12" ht="17" x14ac:dyDescent="0.2">
      <c r="A469" s="2" t="s">
        <v>12</v>
      </c>
      <c r="B469" s="4" t="s">
        <v>65</v>
      </c>
      <c r="C469" s="4">
        <v>2022</v>
      </c>
      <c r="D469" s="4">
        <v>10</v>
      </c>
      <c r="E469" s="2" t="s">
        <v>81</v>
      </c>
      <c r="F469" s="4" t="s">
        <v>82</v>
      </c>
      <c r="G469" s="7" t="s">
        <v>83</v>
      </c>
      <c r="H469" s="4">
        <v>1</v>
      </c>
      <c r="I469" s="4">
        <v>0</v>
      </c>
      <c r="J469" s="4">
        <v>1417</v>
      </c>
      <c r="K469" s="2">
        <v>0</v>
      </c>
      <c r="L469" s="2">
        <v>1E-3</v>
      </c>
    </row>
    <row r="470" spans="1:12" ht="17" x14ac:dyDescent="0.2">
      <c r="A470" s="2" t="s">
        <v>12</v>
      </c>
      <c r="B470" s="4" t="s">
        <v>65</v>
      </c>
      <c r="C470" s="4">
        <v>2022</v>
      </c>
      <c r="D470" s="4">
        <v>10</v>
      </c>
      <c r="E470" s="2" t="s">
        <v>74</v>
      </c>
      <c r="F470" s="4" t="s">
        <v>75</v>
      </c>
      <c r="G470" s="7" t="s">
        <v>76</v>
      </c>
      <c r="H470" s="4">
        <v>8</v>
      </c>
      <c r="I470" s="4">
        <v>0</v>
      </c>
      <c r="J470" s="4">
        <v>4251</v>
      </c>
      <c r="K470" s="2">
        <v>0</v>
      </c>
      <c r="L470" s="2">
        <v>4.0000000000000001E-3</v>
      </c>
    </row>
    <row r="471" spans="1:12" ht="17" x14ac:dyDescent="0.2">
      <c r="A471" s="2" t="s">
        <v>12</v>
      </c>
      <c r="B471" s="4" t="s">
        <v>65</v>
      </c>
      <c r="C471" s="4">
        <v>2022</v>
      </c>
      <c r="D471" s="4">
        <v>10</v>
      </c>
      <c r="E471" s="2" t="s">
        <v>60</v>
      </c>
      <c r="F471" s="4" t="s">
        <v>29</v>
      </c>
      <c r="G471" s="7" t="s">
        <v>30</v>
      </c>
      <c r="H471" s="4">
        <v>984</v>
      </c>
      <c r="I471" s="4">
        <v>2</v>
      </c>
      <c r="J471" s="4">
        <v>1693404</v>
      </c>
      <c r="K471" s="2">
        <v>638670</v>
      </c>
      <c r="L471" s="2">
        <v>2.3319999999999999</v>
      </c>
    </row>
    <row r="472" spans="1:12" ht="17" x14ac:dyDescent="0.2">
      <c r="A472" s="2" t="s">
        <v>12</v>
      </c>
      <c r="B472" s="4" t="s">
        <v>65</v>
      </c>
      <c r="C472" s="4">
        <v>2022</v>
      </c>
      <c r="D472" s="4">
        <v>10</v>
      </c>
      <c r="E472" s="2" t="s">
        <v>48</v>
      </c>
      <c r="F472" s="4" t="s">
        <v>49</v>
      </c>
      <c r="G472" s="7" t="s">
        <v>50</v>
      </c>
      <c r="H472" s="4">
        <v>1</v>
      </c>
      <c r="I472" s="4">
        <v>0</v>
      </c>
      <c r="J472" s="4">
        <v>0</v>
      </c>
      <c r="K472" s="2">
        <v>0</v>
      </c>
      <c r="L472" s="2">
        <v>0</v>
      </c>
    </row>
    <row r="473" spans="1:12" ht="17" x14ac:dyDescent="0.2">
      <c r="A473" s="2" t="s">
        <v>12</v>
      </c>
      <c r="B473" s="4" t="s">
        <v>65</v>
      </c>
      <c r="C473" s="4">
        <v>2022</v>
      </c>
      <c r="D473" s="4">
        <v>10</v>
      </c>
      <c r="E473" s="2" t="s">
        <v>28</v>
      </c>
      <c r="F473" s="4" t="s">
        <v>29</v>
      </c>
      <c r="G473" s="7" t="s">
        <v>30</v>
      </c>
      <c r="H473" s="4">
        <v>552</v>
      </c>
      <c r="I473" s="4">
        <v>2</v>
      </c>
      <c r="J473" s="4">
        <v>2560000</v>
      </c>
      <c r="K473" s="2">
        <v>890000</v>
      </c>
      <c r="L473" s="2">
        <v>3.45</v>
      </c>
    </row>
    <row r="474" spans="1:12" ht="17" x14ac:dyDescent="0.2">
      <c r="A474" s="2" t="s">
        <v>12</v>
      </c>
      <c r="B474" s="4" t="s">
        <v>65</v>
      </c>
      <c r="C474" s="4">
        <v>2022</v>
      </c>
      <c r="D474" s="4">
        <v>10</v>
      </c>
      <c r="E474" s="2" t="s">
        <v>38</v>
      </c>
      <c r="F474" s="4" t="s">
        <v>21</v>
      </c>
      <c r="G474" s="7" t="s">
        <v>22</v>
      </c>
      <c r="H474" s="4">
        <v>8</v>
      </c>
      <c r="I474" s="4">
        <v>0</v>
      </c>
      <c r="J474" s="4">
        <v>160</v>
      </c>
      <c r="K474" s="2">
        <v>0</v>
      </c>
      <c r="L474" s="2">
        <v>0</v>
      </c>
    </row>
    <row r="475" spans="1:12" ht="34" x14ac:dyDescent="0.2">
      <c r="A475" s="2" t="s">
        <v>12</v>
      </c>
      <c r="B475" s="4" t="s">
        <v>65</v>
      </c>
      <c r="C475" s="4">
        <v>2022</v>
      </c>
      <c r="D475" s="4">
        <v>10</v>
      </c>
      <c r="E475" s="2" t="s">
        <v>70</v>
      </c>
      <c r="F475" s="4" t="s">
        <v>71</v>
      </c>
      <c r="G475" s="7" t="s">
        <v>72</v>
      </c>
      <c r="H475" s="4">
        <v>13</v>
      </c>
      <c r="I475" s="4">
        <v>0</v>
      </c>
      <c r="J475" s="4">
        <v>620</v>
      </c>
      <c r="K475" s="2">
        <v>0</v>
      </c>
      <c r="L475" s="2">
        <v>1E-3</v>
      </c>
    </row>
    <row r="476" spans="1:12" ht="17" x14ac:dyDescent="0.2">
      <c r="A476" s="2" t="s">
        <v>12</v>
      </c>
      <c r="B476" s="4" t="s">
        <v>65</v>
      </c>
      <c r="C476" s="4">
        <v>2022</v>
      </c>
      <c r="D476" s="4">
        <v>10</v>
      </c>
      <c r="E476" s="2" t="s">
        <v>73</v>
      </c>
      <c r="F476" s="4" t="s">
        <v>29</v>
      </c>
      <c r="G476" s="7" t="s">
        <v>30</v>
      </c>
      <c r="H476" s="4">
        <v>1410</v>
      </c>
      <c r="I476" s="4">
        <v>1</v>
      </c>
      <c r="J476" s="4">
        <v>3124731</v>
      </c>
      <c r="K476" s="2">
        <v>1197840</v>
      </c>
      <c r="L476" s="2">
        <v>4.3230000000000004</v>
      </c>
    </row>
    <row r="477" spans="1:12" ht="17" x14ac:dyDescent="0.2">
      <c r="A477" s="2" t="s">
        <v>12</v>
      </c>
      <c r="B477" s="4" t="s">
        <v>65</v>
      </c>
      <c r="C477" s="4">
        <v>2022</v>
      </c>
      <c r="D477" s="4">
        <v>10</v>
      </c>
      <c r="E477" s="2" t="s">
        <v>42</v>
      </c>
      <c r="F477" s="4" t="s">
        <v>43</v>
      </c>
      <c r="G477" s="7" t="s">
        <v>100</v>
      </c>
      <c r="H477" s="4">
        <v>3</v>
      </c>
      <c r="I477" s="4">
        <v>0</v>
      </c>
      <c r="J477" s="4">
        <v>36</v>
      </c>
      <c r="K477" s="2">
        <v>0</v>
      </c>
      <c r="L477" s="2">
        <v>0</v>
      </c>
    </row>
    <row r="478" spans="1:12" ht="17" x14ac:dyDescent="0.2">
      <c r="A478" s="2" t="s">
        <v>12</v>
      </c>
      <c r="B478" s="4" t="s">
        <v>65</v>
      </c>
      <c r="C478" s="4">
        <v>2022</v>
      </c>
      <c r="D478" s="4">
        <v>10</v>
      </c>
      <c r="E478" s="2" t="s">
        <v>51</v>
      </c>
      <c r="F478" s="4" t="s">
        <v>52</v>
      </c>
      <c r="G478" s="7" t="s">
        <v>53</v>
      </c>
      <c r="H478" s="4">
        <v>5</v>
      </c>
      <c r="I478" s="4">
        <v>11</v>
      </c>
      <c r="J478" s="4">
        <v>320</v>
      </c>
      <c r="K478" s="2">
        <v>257298</v>
      </c>
      <c r="L478" s="2">
        <v>0.25800000000000001</v>
      </c>
    </row>
    <row r="479" spans="1:12" ht="17" x14ac:dyDescent="0.2">
      <c r="A479" s="2" t="s">
        <v>12</v>
      </c>
      <c r="B479" s="4" t="s">
        <v>65</v>
      </c>
      <c r="C479" s="4">
        <v>2022</v>
      </c>
      <c r="D479" s="4">
        <v>10</v>
      </c>
      <c r="E479" s="2" t="s">
        <v>66</v>
      </c>
      <c r="F479" s="4" t="s">
        <v>58</v>
      </c>
      <c r="G479" s="7" t="s">
        <v>67</v>
      </c>
      <c r="H479" s="4">
        <v>2316</v>
      </c>
      <c r="I479" s="4">
        <v>11</v>
      </c>
      <c r="J479" s="4">
        <v>125319</v>
      </c>
      <c r="K479" s="2">
        <v>5192364</v>
      </c>
      <c r="L479" s="2">
        <v>5.3179999999999996</v>
      </c>
    </row>
    <row r="480" spans="1:12" ht="17" x14ac:dyDescent="0.2">
      <c r="A480" s="2" t="s">
        <v>12</v>
      </c>
      <c r="B480" s="4" t="s">
        <v>65</v>
      </c>
      <c r="C480" s="4">
        <v>2022</v>
      </c>
      <c r="D480" s="4">
        <v>10</v>
      </c>
      <c r="E480" s="2" t="s">
        <v>79</v>
      </c>
      <c r="F480" s="4" t="s">
        <v>71</v>
      </c>
      <c r="G480" s="7" t="s">
        <v>80</v>
      </c>
      <c r="H480" s="4">
        <v>28</v>
      </c>
      <c r="I480" s="4">
        <v>3</v>
      </c>
      <c r="J480" s="4">
        <v>19325</v>
      </c>
      <c r="K480" s="2">
        <v>6000</v>
      </c>
      <c r="L480" s="2">
        <v>2.5000000000000001E-2</v>
      </c>
    </row>
    <row r="481" spans="1:12" ht="17" x14ac:dyDescent="0.2">
      <c r="A481" s="2" t="s">
        <v>12</v>
      </c>
      <c r="B481" s="4" t="s">
        <v>65</v>
      </c>
      <c r="C481" s="4">
        <v>2022</v>
      </c>
      <c r="D481" s="4">
        <v>10</v>
      </c>
      <c r="E481" s="2" t="s">
        <v>57</v>
      </c>
      <c r="F481" s="4" t="s">
        <v>58</v>
      </c>
      <c r="G481" s="7" t="s">
        <v>59</v>
      </c>
      <c r="H481" s="4">
        <v>11</v>
      </c>
      <c r="I481" s="4">
        <v>10</v>
      </c>
      <c r="J481" s="4">
        <v>31392</v>
      </c>
      <c r="K481" s="2">
        <v>1415921</v>
      </c>
      <c r="L481" s="2">
        <v>1.4470000000000001</v>
      </c>
    </row>
    <row r="482" spans="1:12" ht="17" x14ac:dyDescent="0.2">
      <c r="A482" s="2" t="s">
        <v>12</v>
      </c>
      <c r="B482" s="4" t="s">
        <v>13</v>
      </c>
      <c r="C482" s="4">
        <v>2023</v>
      </c>
      <c r="D482" s="4">
        <v>10</v>
      </c>
      <c r="E482" s="2" t="s">
        <v>68</v>
      </c>
      <c r="F482" s="4" t="s">
        <v>18</v>
      </c>
      <c r="G482" s="7" t="s">
        <v>69</v>
      </c>
      <c r="H482" s="4">
        <v>30</v>
      </c>
      <c r="I482" s="4">
        <v>8</v>
      </c>
      <c r="J482" s="4">
        <v>12074</v>
      </c>
      <c r="K482" s="2">
        <v>1181724</v>
      </c>
      <c r="L482" s="2">
        <v>1.194</v>
      </c>
    </row>
    <row r="483" spans="1:12" ht="34" x14ac:dyDescent="0.2">
      <c r="A483" s="2" t="s">
        <v>12</v>
      </c>
      <c r="B483" s="4" t="s">
        <v>13</v>
      </c>
      <c r="C483" s="4">
        <v>2023</v>
      </c>
      <c r="D483" s="4">
        <v>10</v>
      </c>
      <c r="E483" s="2" t="s">
        <v>17</v>
      </c>
      <c r="F483" s="4" t="s">
        <v>18</v>
      </c>
      <c r="G483" s="7" t="s">
        <v>19</v>
      </c>
      <c r="H483" s="4">
        <v>75</v>
      </c>
      <c r="I483" s="4">
        <v>0</v>
      </c>
      <c r="J483" s="4">
        <v>34043</v>
      </c>
      <c r="K483" s="2">
        <v>0</v>
      </c>
      <c r="L483" s="2">
        <v>3.4000000000000002E-2</v>
      </c>
    </row>
    <row r="484" spans="1:12" ht="17" x14ac:dyDescent="0.2">
      <c r="A484" s="2" t="s">
        <v>12</v>
      </c>
      <c r="B484" s="4" t="s">
        <v>13</v>
      </c>
      <c r="C484" s="4">
        <v>2023</v>
      </c>
      <c r="D484" s="4">
        <v>10</v>
      </c>
      <c r="E484" s="2" t="s">
        <v>98</v>
      </c>
      <c r="F484" s="4" t="s">
        <v>15</v>
      </c>
      <c r="G484" s="7" t="s">
        <v>99</v>
      </c>
      <c r="H484" s="4">
        <v>302</v>
      </c>
      <c r="I484" s="4">
        <v>0</v>
      </c>
      <c r="J484" s="4">
        <v>237260</v>
      </c>
      <c r="K484" s="2">
        <v>0</v>
      </c>
      <c r="L484" s="2">
        <v>0.23699999999999999</v>
      </c>
    </row>
    <row r="485" spans="1:12" ht="17" x14ac:dyDescent="0.2">
      <c r="A485" s="2" t="s">
        <v>12</v>
      </c>
      <c r="B485" s="4" t="s">
        <v>13</v>
      </c>
      <c r="C485" s="4">
        <v>2023</v>
      </c>
      <c r="D485" s="4">
        <v>10</v>
      </c>
      <c r="E485" s="2" t="s">
        <v>23</v>
      </c>
      <c r="F485" s="4" t="s">
        <v>15</v>
      </c>
      <c r="G485" s="7" t="s">
        <v>24</v>
      </c>
      <c r="H485" s="4">
        <v>1</v>
      </c>
      <c r="I485" s="4">
        <v>0</v>
      </c>
      <c r="J485" s="4">
        <v>1593</v>
      </c>
      <c r="K485" s="2">
        <v>0</v>
      </c>
      <c r="L485" s="2">
        <v>2E-3</v>
      </c>
    </row>
    <row r="486" spans="1:12" ht="17" x14ac:dyDescent="0.2">
      <c r="A486" s="2" t="s">
        <v>12</v>
      </c>
      <c r="B486" s="4" t="s">
        <v>13</v>
      </c>
      <c r="C486" s="4">
        <v>2023</v>
      </c>
      <c r="D486" s="4">
        <v>10</v>
      </c>
      <c r="E486" s="2" t="s">
        <v>14</v>
      </c>
      <c r="F486" s="4" t="s">
        <v>15</v>
      </c>
      <c r="G486" s="7" t="s">
        <v>16</v>
      </c>
      <c r="H486" s="4">
        <v>23</v>
      </c>
      <c r="I486" s="4">
        <v>0</v>
      </c>
      <c r="J486" s="4">
        <v>15115</v>
      </c>
      <c r="K486" s="2">
        <v>0</v>
      </c>
      <c r="L486" s="2">
        <v>1.4999999999999999E-2</v>
      </c>
    </row>
    <row r="487" spans="1:12" ht="17" x14ac:dyDescent="0.2">
      <c r="A487" s="2" t="s">
        <v>12</v>
      </c>
      <c r="B487" s="4" t="s">
        <v>13</v>
      </c>
      <c r="C487" s="4">
        <v>2023</v>
      </c>
      <c r="D487" s="4">
        <v>10</v>
      </c>
      <c r="E487" s="2" t="s">
        <v>36</v>
      </c>
      <c r="F487" s="4" t="s">
        <v>15</v>
      </c>
      <c r="G487" s="7" t="s">
        <v>37</v>
      </c>
      <c r="H487" s="4">
        <v>69</v>
      </c>
      <c r="I487" s="4">
        <v>2</v>
      </c>
      <c r="J487" s="4">
        <v>9522</v>
      </c>
      <c r="K487" s="2">
        <v>77730</v>
      </c>
      <c r="L487" s="2">
        <v>8.6999999999999994E-2</v>
      </c>
    </row>
    <row r="488" spans="1:12" ht="17" x14ac:dyDescent="0.2">
      <c r="A488" s="2" t="s">
        <v>12</v>
      </c>
      <c r="B488" s="4" t="s">
        <v>13</v>
      </c>
      <c r="C488" s="4">
        <v>2023</v>
      </c>
      <c r="D488" s="4">
        <v>10</v>
      </c>
      <c r="E488" s="2" t="s">
        <v>77</v>
      </c>
      <c r="F488" s="4" t="s">
        <v>15</v>
      </c>
      <c r="G488" s="7" t="s">
        <v>78</v>
      </c>
      <c r="H488" s="4">
        <v>25</v>
      </c>
      <c r="I488" s="4">
        <v>3</v>
      </c>
      <c r="J488" s="4">
        <v>11565</v>
      </c>
      <c r="K488" s="2">
        <v>199020</v>
      </c>
      <c r="L488" s="2">
        <v>0.21099999999999999</v>
      </c>
    </row>
    <row r="489" spans="1:12" ht="17" x14ac:dyDescent="0.2">
      <c r="A489" s="2" t="s">
        <v>12</v>
      </c>
      <c r="B489" s="4" t="s">
        <v>13</v>
      </c>
      <c r="C489" s="4">
        <v>2023</v>
      </c>
      <c r="D489" s="4">
        <v>10</v>
      </c>
      <c r="E489" s="2" t="s">
        <v>63</v>
      </c>
      <c r="F489" s="4" t="s">
        <v>26</v>
      </c>
      <c r="G489" s="7" t="s">
        <v>64</v>
      </c>
      <c r="H489" s="4">
        <v>31</v>
      </c>
      <c r="I489" s="4">
        <v>8</v>
      </c>
      <c r="J489" s="4">
        <v>15417</v>
      </c>
      <c r="K489" s="2">
        <v>1737566</v>
      </c>
      <c r="L489" s="2">
        <v>1.7529999999999999</v>
      </c>
    </row>
    <row r="490" spans="1:12" ht="17" x14ac:dyDescent="0.2">
      <c r="A490" s="2" t="s">
        <v>12</v>
      </c>
      <c r="B490" s="4" t="s">
        <v>13</v>
      </c>
      <c r="C490" s="4">
        <v>2023</v>
      </c>
      <c r="D490" s="4">
        <v>10</v>
      </c>
      <c r="E490" s="2" t="s">
        <v>34</v>
      </c>
      <c r="F490" s="4" t="s">
        <v>26</v>
      </c>
      <c r="G490" s="7" t="s">
        <v>35</v>
      </c>
      <c r="H490" s="4">
        <v>35</v>
      </c>
      <c r="I490" s="4">
        <v>3</v>
      </c>
      <c r="J490" s="4">
        <v>47756</v>
      </c>
      <c r="K490" s="2">
        <v>468337</v>
      </c>
      <c r="L490" s="2">
        <v>0.51600000000000001</v>
      </c>
    </row>
    <row r="491" spans="1:12" ht="34" x14ac:dyDescent="0.2">
      <c r="A491" s="2" t="s">
        <v>12</v>
      </c>
      <c r="B491" s="4" t="s">
        <v>13</v>
      </c>
      <c r="C491" s="4">
        <v>2023</v>
      </c>
      <c r="D491" s="4">
        <v>10</v>
      </c>
      <c r="E491" s="2" t="s">
        <v>61</v>
      </c>
      <c r="F491" s="4" t="s">
        <v>26</v>
      </c>
      <c r="G491" s="7" t="s">
        <v>27</v>
      </c>
      <c r="H491" s="4">
        <v>53</v>
      </c>
      <c r="I491" s="4">
        <v>13</v>
      </c>
      <c r="J491" s="4">
        <v>51763</v>
      </c>
      <c r="K491" s="2">
        <v>1597021</v>
      </c>
      <c r="L491" s="2">
        <v>1.649</v>
      </c>
    </row>
    <row r="492" spans="1:12" ht="34" x14ac:dyDescent="0.2">
      <c r="A492" s="2" t="s">
        <v>12</v>
      </c>
      <c r="B492" s="4" t="s">
        <v>13</v>
      </c>
      <c r="C492" s="4">
        <v>2023</v>
      </c>
      <c r="D492" s="4">
        <v>10</v>
      </c>
      <c r="E492" s="2" t="s">
        <v>61</v>
      </c>
      <c r="F492" s="4" t="s">
        <v>26</v>
      </c>
      <c r="G492" s="7" t="s">
        <v>97</v>
      </c>
      <c r="H492" s="4">
        <v>31</v>
      </c>
      <c r="I492" s="4">
        <v>0</v>
      </c>
      <c r="J492" s="4">
        <v>13607</v>
      </c>
      <c r="K492" s="2">
        <v>0</v>
      </c>
      <c r="L492" s="2">
        <v>1.4E-2</v>
      </c>
    </row>
    <row r="493" spans="1:12" ht="17" x14ac:dyDescent="0.2">
      <c r="A493" s="2" t="s">
        <v>12</v>
      </c>
      <c r="B493" s="4" t="s">
        <v>13</v>
      </c>
      <c r="C493" s="4">
        <v>2023</v>
      </c>
      <c r="D493" s="4">
        <v>10</v>
      </c>
      <c r="E493" s="2" t="s">
        <v>57</v>
      </c>
      <c r="F493" s="4" t="s">
        <v>58</v>
      </c>
      <c r="G493" s="7" t="s">
        <v>59</v>
      </c>
      <c r="H493" s="4">
        <v>258</v>
      </c>
      <c r="I493" s="4">
        <v>40</v>
      </c>
      <c r="J493" s="4">
        <v>390484</v>
      </c>
      <c r="K493" s="2">
        <v>1826358</v>
      </c>
      <c r="L493" s="2">
        <v>2.2170000000000001</v>
      </c>
    </row>
    <row r="494" spans="1:12" ht="17" x14ac:dyDescent="0.2">
      <c r="A494" s="2" t="s">
        <v>12</v>
      </c>
      <c r="B494" s="4" t="s">
        <v>13</v>
      </c>
      <c r="C494" s="4">
        <v>2023</v>
      </c>
      <c r="D494" s="4">
        <v>10</v>
      </c>
      <c r="E494" s="2" t="s">
        <v>66</v>
      </c>
      <c r="F494" s="4" t="s">
        <v>58</v>
      </c>
      <c r="G494" s="7" t="s">
        <v>67</v>
      </c>
      <c r="H494" s="4">
        <v>2782</v>
      </c>
      <c r="I494" s="4">
        <v>17</v>
      </c>
      <c r="J494" s="4">
        <v>627737</v>
      </c>
      <c r="K494" s="2">
        <v>8190369</v>
      </c>
      <c r="L494" s="2">
        <v>8.8179999999999996</v>
      </c>
    </row>
    <row r="495" spans="1:12" ht="17" x14ac:dyDescent="0.2">
      <c r="A495" s="2" t="s">
        <v>12</v>
      </c>
      <c r="B495" s="4" t="s">
        <v>13</v>
      </c>
      <c r="C495" s="4">
        <v>2023</v>
      </c>
      <c r="D495" s="4">
        <v>10</v>
      </c>
      <c r="F495" s="4" t="s">
        <v>94</v>
      </c>
      <c r="G495" s="7" t="s">
        <v>95</v>
      </c>
      <c r="I495" s="4">
        <v>7</v>
      </c>
      <c r="J495" s="4">
        <v>80946</v>
      </c>
      <c r="K495" s="2">
        <v>670686</v>
      </c>
      <c r="L495" s="2">
        <v>0.75163199999999997</v>
      </c>
    </row>
    <row r="496" spans="1:12" ht="17" x14ac:dyDescent="0.2">
      <c r="A496" s="2" t="s">
        <v>12</v>
      </c>
      <c r="B496" s="4" t="s">
        <v>13</v>
      </c>
      <c r="C496" s="4">
        <v>2023</v>
      </c>
      <c r="D496" s="4">
        <v>10</v>
      </c>
      <c r="E496" s="2" t="s">
        <v>92</v>
      </c>
      <c r="F496" s="4" t="s">
        <v>75</v>
      </c>
      <c r="G496" s="7" t="s">
        <v>93</v>
      </c>
      <c r="H496" s="4">
        <v>80</v>
      </c>
      <c r="I496" s="4">
        <v>0</v>
      </c>
      <c r="J496" s="4">
        <v>1135212</v>
      </c>
      <c r="K496" s="2">
        <v>0</v>
      </c>
      <c r="L496" s="2">
        <v>1.135</v>
      </c>
    </row>
    <row r="497" spans="1:12" ht="17" x14ac:dyDescent="0.2">
      <c r="A497" s="2" t="s">
        <v>12</v>
      </c>
      <c r="B497" s="4" t="s">
        <v>13</v>
      </c>
      <c r="C497" s="4">
        <v>2023</v>
      </c>
      <c r="D497" s="4">
        <v>10</v>
      </c>
      <c r="E497" s="2" t="s">
        <v>74</v>
      </c>
      <c r="F497" s="4" t="s">
        <v>75</v>
      </c>
      <c r="G497" s="7" t="s">
        <v>89</v>
      </c>
      <c r="H497" s="4">
        <v>19</v>
      </c>
      <c r="I497" s="4">
        <v>0</v>
      </c>
      <c r="J497" s="4">
        <v>63721</v>
      </c>
      <c r="K497" s="2">
        <v>0</v>
      </c>
      <c r="L497" s="2">
        <v>6.4000000000000001E-2</v>
      </c>
    </row>
    <row r="498" spans="1:12" ht="17" x14ac:dyDescent="0.2">
      <c r="A498" s="2" t="s">
        <v>12</v>
      </c>
      <c r="B498" s="4" t="s">
        <v>13</v>
      </c>
      <c r="C498" s="4">
        <v>2023</v>
      </c>
      <c r="D498" s="4">
        <v>10</v>
      </c>
      <c r="E498" s="2" t="s">
        <v>87</v>
      </c>
      <c r="F498" s="4" t="s">
        <v>85</v>
      </c>
      <c r="G498" s="7" t="s">
        <v>88</v>
      </c>
      <c r="I498" s="4">
        <v>0</v>
      </c>
      <c r="J498" s="4">
        <v>17127</v>
      </c>
      <c r="K498" s="2">
        <v>0</v>
      </c>
      <c r="L498" s="2">
        <v>1.7127E-2</v>
      </c>
    </row>
    <row r="499" spans="1:12" ht="17" x14ac:dyDescent="0.2">
      <c r="A499" s="2" t="s">
        <v>12</v>
      </c>
      <c r="B499" s="4" t="s">
        <v>13</v>
      </c>
      <c r="C499" s="4">
        <v>2023</v>
      </c>
      <c r="D499" s="4">
        <v>10</v>
      </c>
      <c r="E499" s="2" t="s">
        <v>84</v>
      </c>
      <c r="F499" s="4" t="s">
        <v>85</v>
      </c>
      <c r="G499" s="7" t="s">
        <v>86</v>
      </c>
      <c r="I499" s="4">
        <v>11</v>
      </c>
      <c r="J499" s="4">
        <v>430496</v>
      </c>
      <c r="K499" s="2">
        <v>83625</v>
      </c>
      <c r="L499" s="2">
        <v>0.51412100000000005</v>
      </c>
    </row>
    <row r="500" spans="1:12" ht="17" x14ac:dyDescent="0.2">
      <c r="A500" s="2" t="s">
        <v>12</v>
      </c>
      <c r="B500" s="4" t="s">
        <v>13</v>
      </c>
      <c r="C500" s="4">
        <v>2023</v>
      </c>
      <c r="D500" s="4">
        <v>10</v>
      </c>
      <c r="E500" s="2" t="s">
        <v>90</v>
      </c>
      <c r="F500" s="4" t="s">
        <v>85</v>
      </c>
      <c r="G500" s="7" t="s">
        <v>91</v>
      </c>
      <c r="I500" s="4">
        <v>11</v>
      </c>
      <c r="J500" s="4">
        <v>430496</v>
      </c>
      <c r="K500" s="2">
        <v>83625</v>
      </c>
      <c r="L500" s="2">
        <v>0.51412100000000005</v>
      </c>
    </row>
    <row r="501" spans="1:12" ht="17" x14ac:dyDescent="0.2">
      <c r="A501" s="2" t="s">
        <v>12</v>
      </c>
      <c r="B501" s="4" t="s">
        <v>13</v>
      </c>
      <c r="C501" s="4">
        <v>2023</v>
      </c>
      <c r="D501" s="4">
        <v>10</v>
      </c>
      <c r="E501" s="2" t="s">
        <v>81</v>
      </c>
      <c r="F501" s="4" t="s">
        <v>82</v>
      </c>
      <c r="G501" s="7" t="s">
        <v>83</v>
      </c>
      <c r="H501" s="4">
        <v>4</v>
      </c>
      <c r="I501" s="4">
        <v>0</v>
      </c>
      <c r="J501" s="4">
        <v>2553</v>
      </c>
      <c r="K501" s="2">
        <v>0</v>
      </c>
      <c r="L501" s="2">
        <v>3.0000000000000001E-3</v>
      </c>
    </row>
    <row r="502" spans="1:12" ht="17" x14ac:dyDescent="0.2">
      <c r="A502" s="2" t="s">
        <v>12</v>
      </c>
      <c r="B502" s="4" t="s">
        <v>13</v>
      </c>
      <c r="C502" s="4">
        <v>2023</v>
      </c>
      <c r="D502" s="4">
        <v>10</v>
      </c>
      <c r="E502" s="2" t="s">
        <v>60</v>
      </c>
      <c r="F502" s="4" t="s">
        <v>29</v>
      </c>
      <c r="G502" s="7" t="s">
        <v>30</v>
      </c>
      <c r="H502" s="4">
        <v>1263</v>
      </c>
      <c r="I502" s="4">
        <v>3</v>
      </c>
      <c r="J502" s="4">
        <v>2601136</v>
      </c>
      <c r="K502" s="2">
        <v>946700</v>
      </c>
      <c r="L502" s="2">
        <v>3.548</v>
      </c>
    </row>
    <row r="503" spans="1:12" ht="17" x14ac:dyDescent="0.2">
      <c r="A503" s="2" t="s">
        <v>12</v>
      </c>
      <c r="B503" s="4" t="s">
        <v>13</v>
      </c>
      <c r="C503" s="4">
        <v>2023</v>
      </c>
      <c r="D503" s="4">
        <v>10</v>
      </c>
      <c r="E503" s="2" t="s">
        <v>73</v>
      </c>
      <c r="F503" s="4" t="s">
        <v>29</v>
      </c>
      <c r="G503" s="7" t="s">
        <v>30</v>
      </c>
      <c r="H503" s="4">
        <v>1926</v>
      </c>
      <c r="I503" s="4">
        <v>3</v>
      </c>
      <c r="J503" s="4">
        <v>4521290</v>
      </c>
      <c r="K503" s="2">
        <v>2748480</v>
      </c>
      <c r="L503" s="2">
        <v>7.27</v>
      </c>
    </row>
    <row r="504" spans="1:12" ht="17" x14ac:dyDescent="0.2">
      <c r="A504" s="2" t="s">
        <v>12</v>
      </c>
      <c r="B504" s="4" t="s">
        <v>13</v>
      </c>
      <c r="C504" s="4">
        <v>2023</v>
      </c>
      <c r="D504" s="4">
        <v>10</v>
      </c>
      <c r="E504" s="2" t="s">
        <v>28</v>
      </c>
      <c r="F504" s="4" t="s">
        <v>29</v>
      </c>
      <c r="G504" s="7" t="s">
        <v>30</v>
      </c>
      <c r="H504" s="4">
        <v>712</v>
      </c>
      <c r="I504" s="4">
        <v>5</v>
      </c>
      <c r="J504" s="4">
        <v>3120000</v>
      </c>
      <c r="K504" s="2">
        <v>4310000</v>
      </c>
      <c r="L504" s="2">
        <v>7.43</v>
      </c>
    </row>
    <row r="505" spans="1:12" ht="17" x14ac:dyDescent="0.2">
      <c r="A505" s="2" t="s">
        <v>12</v>
      </c>
      <c r="B505" s="4" t="s">
        <v>13</v>
      </c>
      <c r="C505" s="4">
        <v>2023</v>
      </c>
      <c r="D505" s="4">
        <v>10</v>
      </c>
      <c r="E505" s="2" t="s">
        <v>54</v>
      </c>
      <c r="F505" s="4" t="s">
        <v>55</v>
      </c>
      <c r="G505" s="7" t="s">
        <v>56</v>
      </c>
      <c r="I505" s="4">
        <v>10</v>
      </c>
      <c r="J505" s="4">
        <v>219564</v>
      </c>
      <c r="K505" s="2">
        <v>19433</v>
      </c>
      <c r="L505" s="2">
        <v>0.23899999999999999</v>
      </c>
    </row>
    <row r="506" spans="1:12" ht="17" x14ac:dyDescent="0.2">
      <c r="A506" s="2" t="s">
        <v>12</v>
      </c>
      <c r="B506" s="4" t="s">
        <v>13</v>
      </c>
      <c r="C506" s="4">
        <v>2023</v>
      </c>
      <c r="D506" s="4">
        <v>10</v>
      </c>
      <c r="E506" s="2" t="s">
        <v>42</v>
      </c>
      <c r="F506" s="4" t="s">
        <v>43</v>
      </c>
      <c r="G506" s="7" t="s">
        <v>44</v>
      </c>
      <c r="I506" s="4">
        <v>0</v>
      </c>
      <c r="J506" s="4">
        <v>3590</v>
      </c>
      <c r="K506" s="2">
        <v>0</v>
      </c>
      <c r="L506" s="2">
        <v>4.0000000000000001E-3</v>
      </c>
    </row>
    <row r="507" spans="1:12" ht="17" x14ac:dyDescent="0.2">
      <c r="A507" s="2" t="s">
        <v>12</v>
      </c>
      <c r="B507" s="4" t="s">
        <v>13</v>
      </c>
      <c r="C507" s="4">
        <v>2023</v>
      </c>
      <c r="D507" s="4">
        <v>10</v>
      </c>
      <c r="E507" s="2" t="s">
        <v>39</v>
      </c>
      <c r="F507" s="4" t="s">
        <v>40</v>
      </c>
      <c r="G507" s="7" t="s">
        <v>41</v>
      </c>
      <c r="H507" s="4">
        <v>139</v>
      </c>
      <c r="I507" s="4">
        <v>0</v>
      </c>
      <c r="J507" s="4">
        <v>597914</v>
      </c>
      <c r="K507" s="2">
        <v>0</v>
      </c>
      <c r="L507" s="2">
        <v>0.59799999999999998</v>
      </c>
    </row>
    <row r="508" spans="1:12" ht="34" x14ac:dyDescent="0.2">
      <c r="A508" s="2" t="s">
        <v>12</v>
      </c>
      <c r="B508" s="4" t="s">
        <v>13</v>
      </c>
      <c r="C508" s="4">
        <v>2023</v>
      </c>
      <c r="D508" s="4">
        <v>10</v>
      </c>
      <c r="E508" s="2" t="s">
        <v>17</v>
      </c>
      <c r="F508" s="4" t="s">
        <v>18</v>
      </c>
      <c r="G508" s="7" t="s">
        <v>19</v>
      </c>
      <c r="H508" s="4">
        <v>75</v>
      </c>
      <c r="I508" s="4">
        <v>0</v>
      </c>
      <c r="J508" s="4">
        <v>34043</v>
      </c>
      <c r="K508" s="2">
        <v>0</v>
      </c>
      <c r="L508" s="2">
        <v>3.4000000000000002E-2</v>
      </c>
    </row>
    <row r="509" spans="1:12" ht="17" x14ac:dyDescent="0.2">
      <c r="A509" s="2" t="s">
        <v>12</v>
      </c>
      <c r="B509" s="4" t="s">
        <v>13</v>
      </c>
      <c r="C509" s="4">
        <v>2023</v>
      </c>
      <c r="D509" s="4">
        <v>10</v>
      </c>
      <c r="E509" s="2" t="s">
        <v>36</v>
      </c>
      <c r="F509" s="4" t="s">
        <v>15</v>
      </c>
      <c r="G509" s="7" t="s">
        <v>37</v>
      </c>
      <c r="H509" s="4">
        <v>69</v>
      </c>
      <c r="I509" s="4">
        <v>2</v>
      </c>
      <c r="J509" s="4">
        <v>9522</v>
      </c>
      <c r="K509" s="2">
        <v>77730</v>
      </c>
      <c r="L509" s="2">
        <v>8.6999999999999994E-2</v>
      </c>
    </row>
    <row r="510" spans="1:12" ht="17" x14ac:dyDescent="0.2">
      <c r="A510" s="2" t="s">
        <v>12</v>
      </c>
      <c r="B510" s="4" t="s">
        <v>13</v>
      </c>
      <c r="C510" s="4">
        <v>2023</v>
      </c>
      <c r="D510" s="4">
        <v>10</v>
      </c>
      <c r="E510" s="2" t="s">
        <v>34</v>
      </c>
      <c r="F510" s="4" t="s">
        <v>26</v>
      </c>
      <c r="G510" s="7" t="s">
        <v>35</v>
      </c>
      <c r="H510" s="4">
        <v>35</v>
      </c>
      <c r="I510" s="4">
        <v>3</v>
      </c>
      <c r="J510" s="4">
        <v>47756</v>
      </c>
      <c r="K510" s="2">
        <v>468337</v>
      </c>
      <c r="L510" s="2">
        <v>0.51600000000000001</v>
      </c>
    </row>
    <row r="511" spans="1:12" ht="51" x14ac:dyDescent="0.2">
      <c r="A511" s="2" t="s">
        <v>12</v>
      </c>
      <c r="B511" s="4" t="s">
        <v>13</v>
      </c>
      <c r="C511" s="4">
        <v>2023</v>
      </c>
      <c r="D511" s="4">
        <v>10</v>
      </c>
      <c r="E511" s="2" t="s">
        <v>31</v>
      </c>
      <c r="F511" s="4" t="s">
        <v>32</v>
      </c>
      <c r="G511" s="7" t="s">
        <v>33</v>
      </c>
      <c r="H511" s="4">
        <v>96</v>
      </c>
      <c r="I511" s="4">
        <v>1</v>
      </c>
      <c r="J511" s="4">
        <v>24713</v>
      </c>
      <c r="K511" s="2">
        <v>208212</v>
      </c>
      <c r="L511" s="2">
        <v>0.23300000000000001</v>
      </c>
    </row>
    <row r="512" spans="1:12" ht="17" x14ac:dyDescent="0.2">
      <c r="A512" s="2" t="s">
        <v>12</v>
      </c>
      <c r="B512" s="4" t="s">
        <v>13</v>
      </c>
      <c r="C512" s="4">
        <v>2023</v>
      </c>
      <c r="D512" s="4">
        <v>10</v>
      </c>
      <c r="E512" s="2" t="s">
        <v>28</v>
      </c>
      <c r="F512" s="4" t="s">
        <v>29</v>
      </c>
      <c r="G512" s="7" t="s">
        <v>30</v>
      </c>
      <c r="H512" s="4">
        <v>712</v>
      </c>
      <c r="I512" s="4">
        <v>5</v>
      </c>
      <c r="J512" s="4">
        <v>3120000</v>
      </c>
      <c r="K512" s="2">
        <v>4310000</v>
      </c>
      <c r="L512" s="2">
        <v>7.43</v>
      </c>
    </row>
    <row r="513" spans="1:12" ht="17" x14ac:dyDescent="0.2">
      <c r="A513" s="2" t="s">
        <v>12</v>
      </c>
      <c r="B513" s="4" t="s">
        <v>13</v>
      </c>
      <c r="C513" s="4">
        <v>2023</v>
      </c>
      <c r="D513" s="4">
        <v>10</v>
      </c>
      <c r="E513" s="2" t="s">
        <v>54</v>
      </c>
      <c r="F513" s="4" t="s">
        <v>55</v>
      </c>
      <c r="G513" s="7" t="s">
        <v>56</v>
      </c>
      <c r="I513" s="4">
        <v>10</v>
      </c>
      <c r="J513" s="4">
        <v>219564</v>
      </c>
      <c r="K513" s="2">
        <v>19433</v>
      </c>
      <c r="L513" s="2">
        <v>0.23899699999999999</v>
      </c>
    </row>
    <row r="514" spans="1:12" ht="17" x14ac:dyDescent="0.2">
      <c r="A514" s="2" t="s">
        <v>12</v>
      </c>
      <c r="B514" s="4" t="s">
        <v>13</v>
      </c>
      <c r="C514" s="4">
        <v>2023</v>
      </c>
      <c r="D514" s="4">
        <v>10</v>
      </c>
      <c r="E514" s="2" t="s">
        <v>51</v>
      </c>
      <c r="F514" s="4" t="s">
        <v>52</v>
      </c>
      <c r="G514" s="7" t="s">
        <v>53</v>
      </c>
      <c r="H514" s="4">
        <v>12</v>
      </c>
      <c r="I514" s="4">
        <v>11</v>
      </c>
      <c r="J514" s="4">
        <v>3860</v>
      </c>
      <c r="K514" s="2">
        <v>217518</v>
      </c>
      <c r="L514" s="2">
        <v>0.221</v>
      </c>
    </row>
    <row r="515" spans="1:12" ht="17" x14ac:dyDescent="0.2">
      <c r="A515" s="2" t="s">
        <v>12</v>
      </c>
      <c r="B515" s="4" t="s">
        <v>13</v>
      </c>
      <c r="C515" s="4">
        <v>2023</v>
      </c>
      <c r="D515" s="4">
        <v>10</v>
      </c>
      <c r="E515" s="2" t="s">
        <v>48</v>
      </c>
      <c r="F515" s="4" t="s">
        <v>49</v>
      </c>
      <c r="G515" s="7" t="s">
        <v>50</v>
      </c>
      <c r="I515" s="4">
        <v>0</v>
      </c>
      <c r="J515" s="4">
        <v>3590</v>
      </c>
      <c r="K515" s="2">
        <v>0</v>
      </c>
      <c r="L515" s="2">
        <v>0</v>
      </c>
    </row>
    <row r="516" spans="1:12" ht="17" x14ac:dyDescent="0.2">
      <c r="A516" s="2" t="s">
        <v>12</v>
      </c>
      <c r="B516" s="4" t="s">
        <v>13</v>
      </c>
      <c r="C516" s="4">
        <v>2023</v>
      </c>
      <c r="D516" s="4">
        <v>10</v>
      </c>
      <c r="E516" s="2" t="s">
        <v>38</v>
      </c>
      <c r="F516" s="4" t="s">
        <v>21</v>
      </c>
      <c r="G516" s="7" t="s">
        <v>22</v>
      </c>
      <c r="H516" s="4">
        <v>318</v>
      </c>
      <c r="I516" s="4">
        <v>2</v>
      </c>
      <c r="J516" s="4">
        <v>361730</v>
      </c>
      <c r="K516" s="2">
        <v>205446</v>
      </c>
      <c r="L516" s="2">
        <v>0.56699999999999995</v>
      </c>
    </row>
    <row r="517" spans="1:12" ht="17" x14ac:dyDescent="0.2">
      <c r="A517" s="2" t="s">
        <v>12</v>
      </c>
      <c r="B517" s="4" t="s">
        <v>13</v>
      </c>
      <c r="C517" s="4">
        <v>2023</v>
      </c>
      <c r="D517" s="4">
        <v>10</v>
      </c>
      <c r="E517" s="2" t="s">
        <v>20</v>
      </c>
      <c r="F517" s="4" t="s">
        <v>21</v>
      </c>
      <c r="G517" s="7" t="s">
        <v>22</v>
      </c>
      <c r="H517" s="4">
        <v>224</v>
      </c>
      <c r="I517" s="4">
        <v>0</v>
      </c>
      <c r="J517" s="4">
        <v>28350</v>
      </c>
      <c r="K517" s="2">
        <v>0</v>
      </c>
      <c r="L517" s="2">
        <v>2.8000000000000001E-2</v>
      </c>
    </row>
    <row r="518" spans="1:12" ht="17" x14ac:dyDescent="0.2">
      <c r="A518" s="2" t="s">
        <v>12</v>
      </c>
      <c r="B518" s="4" t="s">
        <v>13</v>
      </c>
      <c r="C518" s="4">
        <v>2023</v>
      </c>
      <c r="D518" s="4">
        <v>10</v>
      </c>
      <c r="E518" s="2" t="s">
        <v>45</v>
      </c>
      <c r="F518" s="4" t="s">
        <v>46</v>
      </c>
      <c r="G518" s="7" t="s">
        <v>47</v>
      </c>
      <c r="I518" s="4">
        <v>5</v>
      </c>
      <c r="J518" s="4">
        <v>144612</v>
      </c>
      <c r="K518" s="2">
        <v>31300</v>
      </c>
      <c r="L518" s="2">
        <v>0.17591200000000001</v>
      </c>
    </row>
    <row r="519" spans="1:12" ht="34" x14ac:dyDescent="0.2">
      <c r="A519" s="2" t="s">
        <v>12</v>
      </c>
      <c r="B519" s="4" t="s">
        <v>13</v>
      </c>
      <c r="C519" s="4">
        <v>2023</v>
      </c>
      <c r="D519" s="4">
        <v>10</v>
      </c>
      <c r="E519" s="2" t="s">
        <v>70</v>
      </c>
      <c r="F519" s="4" t="s">
        <v>71</v>
      </c>
      <c r="G519" s="7" t="s">
        <v>72</v>
      </c>
      <c r="H519" s="4">
        <v>35</v>
      </c>
      <c r="I519" s="4">
        <v>0</v>
      </c>
      <c r="J519" s="4">
        <v>10692</v>
      </c>
      <c r="K519" s="2">
        <v>0</v>
      </c>
      <c r="L519" s="2">
        <v>1.0999999999999999E-2</v>
      </c>
    </row>
    <row r="520" spans="1:12" ht="17" x14ac:dyDescent="0.2">
      <c r="A520" s="2" t="s">
        <v>12</v>
      </c>
      <c r="B520" s="4" t="s">
        <v>13</v>
      </c>
      <c r="C520" s="4">
        <v>2023</v>
      </c>
      <c r="D520" s="4">
        <v>10</v>
      </c>
      <c r="E520" s="2" t="s">
        <v>79</v>
      </c>
      <c r="F520" s="4" t="s">
        <v>71</v>
      </c>
      <c r="G520" s="7" t="s">
        <v>80</v>
      </c>
      <c r="I520" s="4">
        <v>9</v>
      </c>
      <c r="J520" s="4">
        <v>90000</v>
      </c>
      <c r="K520" s="2">
        <v>320000</v>
      </c>
      <c r="L520" s="2">
        <v>0.41</v>
      </c>
    </row>
    <row r="521" spans="1:12" ht="17" x14ac:dyDescent="0.2">
      <c r="A521" s="2" t="s">
        <v>12</v>
      </c>
      <c r="B521" s="4" t="s">
        <v>65</v>
      </c>
      <c r="C521" s="4">
        <v>2022</v>
      </c>
      <c r="D521" s="4">
        <v>9</v>
      </c>
      <c r="E521" s="2" t="s">
        <v>57</v>
      </c>
      <c r="F521" s="4" t="s">
        <v>58</v>
      </c>
      <c r="G521" s="7" t="s">
        <v>59</v>
      </c>
      <c r="H521" s="4">
        <v>11</v>
      </c>
      <c r="I521" s="4">
        <v>10</v>
      </c>
      <c r="J521" s="4">
        <v>29346</v>
      </c>
      <c r="K521" s="2">
        <v>1486230</v>
      </c>
      <c r="L521" s="2">
        <v>1.516</v>
      </c>
    </row>
    <row r="522" spans="1:12" ht="17" x14ac:dyDescent="0.2">
      <c r="A522" s="2" t="s">
        <v>12</v>
      </c>
      <c r="B522" s="4" t="s">
        <v>65</v>
      </c>
      <c r="C522" s="4">
        <v>2022</v>
      </c>
      <c r="D522" s="4">
        <v>9</v>
      </c>
      <c r="E522" s="2" t="s">
        <v>51</v>
      </c>
      <c r="F522" s="4" t="s">
        <v>52</v>
      </c>
      <c r="G522" s="7" t="s">
        <v>53</v>
      </c>
      <c r="H522" s="4">
        <v>5</v>
      </c>
      <c r="I522" s="4">
        <v>11</v>
      </c>
      <c r="J522" s="4">
        <v>306</v>
      </c>
      <c r="K522" s="2">
        <v>255214</v>
      </c>
      <c r="L522" s="2">
        <v>0.25600000000000001</v>
      </c>
    </row>
    <row r="523" spans="1:12" ht="17" x14ac:dyDescent="0.2">
      <c r="A523" s="2" t="s">
        <v>12</v>
      </c>
      <c r="B523" s="4" t="s">
        <v>65</v>
      </c>
      <c r="C523" s="4">
        <v>2022</v>
      </c>
      <c r="D523" s="4">
        <v>9</v>
      </c>
      <c r="E523" s="2" t="s">
        <v>74</v>
      </c>
      <c r="F523" s="4" t="s">
        <v>75</v>
      </c>
      <c r="G523" s="7" t="s">
        <v>76</v>
      </c>
      <c r="H523" s="4">
        <v>8</v>
      </c>
      <c r="I523" s="4">
        <v>0</v>
      </c>
      <c r="J523" s="4">
        <v>12529</v>
      </c>
      <c r="K523" s="2">
        <v>0</v>
      </c>
      <c r="L523" s="2">
        <v>1.2999999999999999E-2</v>
      </c>
    </row>
    <row r="524" spans="1:12" ht="17" x14ac:dyDescent="0.2">
      <c r="A524" s="2" t="s">
        <v>12</v>
      </c>
      <c r="B524" s="4" t="s">
        <v>65</v>
      </c>
      <c r="C524" s="4">
        <v>2022</v>
      </c>
      <c r="D524" s="4">
        <v>9</v>
      </c>
      <c r="E524" s="2" t="s">
        <v>36</v>
      </c>
      <c r="F524" s="4" t="s">
        <v>15</v>
      </c>
      <c r="G524" s="7" t="s">
        <v>37</v>
      </c>
      <c r="H524" s="4">
        <v>63</v>
      </c>
      <c r="I524" s="4">
        <v>0</v>
      </c>
      <c r="J524" s="4">
        <v>4072</v>
      </c>
      <c r="K524" s="2">
        <v>0</v>
      </c>
      <c r="L524" s="2">
        <v>4.0000000000000001E-3</v>
      </c>
    </row>
    <row r="525" spans="1:12" ht="17" x14ac:dyDescent="0.2">
      <c r="A525" s="2" t="s">
        <v>12</v>
      </c>
      <c r="B525" s="4" t="s">
        <v>65</v>
      </c>
      <c r="C525" s="4">
        <v>2022</v>
      </c>
      <c r="D525" s="4">
        <v>9</v>
      </c>
      <c r="E525" s="2" t="s">
        <v>54</v>
      </c>
      <c r="F525" s="4" t="s">
        <v>55</v>
      </c>
      <c r="G525" s="7" t="s">
        <v>56</v>
      </c>
      <c r="H525" s="4">
        <v>18</v>
      </c>
      <c r="I525" s="4">
        <v>2</v>
      </c>
      <c r="J525" s="4">
        <v>37095</v>
      </c>
      <c r="K525" s="2">
        <v>24540</v>
      </c>
      <c r="L525" s="2">
        <v>6.2E-2</v>
      </c>
    </row>
    <row r="526" spans="1:12" ht="34" x14ac:dyDescent="0.2">
      <c r="A526" s="2" t="s">
        <v>12</v>
      </c>
      <c r="B526" s="4" t="s">
        <v>65</v>
      </c>
      <c r="C526" s="4">
        <v>2022</v>
      </c>
      <c r="D526" s="4">
        <v>9</v>
      </c>
      <c r="E526" s="2" t="s">
        <v>61</v>
      </c>
      <c r="F526" s="4" t="s">
        <v>26</v>
      </c>
      <c r="G526" s="7" t="s">
        <v>62</v>
      </c>
      <c r="H526" s="4">
        <v>8</v>
      </c>
      <c r="I526" s="4">
        <v>0</v>
      </c>
      <c r="J526" s="4">
        <v>879</v>
      </c>
      <c r="K526" s="2">
        <v>0</v>
      </c>
      <c r="L526" s="2">
        <v>1E-3</v>
      </c>
    </row>
    <row r="527" spans="1:12" ht="17" x14ac:dyDescent="0.2">
      <c r="A527" s="2" t="s">
        <v>12</v>
      </c>
      <c r="B527" s="4" t="s">
        <v>65</v>
      </c>
      <c r="C527" s="4">
        <v>2022</v>
      </c>
      <c r="D527" s="4">
        <v>9</v>
      </c>
      <c r="E527" s="2" t="s">
        <v>81</v>
      </c>
      <c r="F527" s="4" t="s">
        <v>82</v>
      </c>
      <c r="G527" s="7" t="s">
        <v>83</v>
      </c>
      <c r="H527" s="4">
        <v>1</v>
      </c>
      <c r="I527" s="4">
        <v>0</v>
      </c>
      <c r="J527" s="4">
        <v>1111</v>
      </c>
      <c r="K527" s="2">
        <v>0</v>
      </c>
      <c r="L527" s="2">
        <v>1E-3</v>
      </c>
    </row>
    <row r="528" spans="1:12" ht="17" x14ac:dyDescent="0.2">
      <c r="A528" s="2" t="s">
        <v>12</v>
      </c>
      <c r="B528" s="4" t="s">
        <v>65</v>
      </c>
      <c r="C528" s="4">
        <v>2022</v>
      </c>
      <c r="D528" s="4">
        <v>9</v>
      </c>
      <c r="E528" s="2" t="s">
        <v>66</v>
      </c>
      <c r="F528" s="4" t="s">
        <v>58</v>
      </c>
      <c r="G528" s="7" t="s">
        <v>67</v>
      </c>
      <c r="H528" s="4">
        <v>2316</v>
      </c>
      <c r="I528" s="4">
        <v>11</v>
      </c>
      <c r="J528" s="4">
        <v>49118</v>
      </c>
      <c r="K528" s="2">
        <v>4512882</v>
      </c>
      <c r="L528" s="2">
        <v>4.5620000000000003</v>
      </c>
    </row>
    <row r="529" spans="1:12" ht="17" x14ac:dyDescent="0.2">
      <c r="A529" s="2" t="s">
        <v>12</v>
      </c>
      <c r="B529" s="4" t="s">
        <v>65</v>
      </c>
      <c r="C529" s="4">
        <v>2022</v>
      </c>
      <c r="D529" s="4">
        <v>9</v>
      </c>
      <c r="E529" s="2" t="s">
        <v>68</v>
      </c>
      <c r="F529" s="4" t="s">
        <v>18</v>
      </c>
      <c r="G529" s="7" t="s">
        <v>69</v>
      </c>
      <c r="H529" s="4">
        <v>11</v>
      </c>
      <c r="I529" s="4">
        <v>5</v>
      </c>
      <c r="J529" s="4">
        <v>1588</v>
      </c>
      <c r="K529" s="2">
        <v>12948</v>
      </c>
      <c r="L529" s="2">
        <v>1.4999999999999999E-2</v>
      </c>
    </row>
    <row r="530" spans="1:12" ht="17" x14ac:dyDescent="0.2">
      <c r="A530" s="2" t="s">
        <v>12</v>
      </c>
      <c r="B530" s="4" t="s">
        <v>65</v>
      </c>
      <c r="C530" s="4">
        <v>2022</v>
      </c>
      <c r="D530" s="4">
        <v>9</v>
      </c>
      <c r="E530" s="2" t="s">
        <v>48</v>
      </c>
      <c r="F530" s="4" t="s">
        <v>49</v>
      </c>
      <c r="G530" s="7" t="s">
        <v>50</v>
      </c>
      <c r="H530" s="4">
        <v>1</v>
      </c>
      <c r="I530" s="4">
        <v>0</v>
      </c>
      <c r="J530" s="4">
        <v>0</v>
      </c>
      <c r="K530" s="2">
        <v>0</v>
      </c>
      <c r="L530" s="2">
        <v>0</v>
      </c>
    </row>
    <row r="531" spans="1:12" ht="17" x14ac:dyDescent="0.2">
      <c r="A531" s="2" t="s">
        <v>12</v>
      </c>
      <c r="B531" s="4" t="s">
        <v>65</v>
      </c>
      <c r="C531" s="4">
        <v>2022</v>
      </c>
      <c r="D531" s="4">
        <v>9</v>
      </c>
      <c r="E531" s="2" t="s">
        <v>45</v>
      </c>
      <c r="F531" s="4" t="s">
        <v>46</v>
      </c>
      <c r="G531" s="7" t="s">
        <v>47</v>
      </c>
      <c r="H531" s="4">
        <v>37</v>
      </c>
      <c r="I531" s="4">
        <v>3</v>
      </c>
      <c r="J531" s="4">
        <v>32821</v>
      </c>
      <c r="K531" s="2">
        <v>31120</v>
      </c>
      <c r="L531" s="2">
        <v>6.4000000000000001E-2</v>
      </c>
    </row>
    <row r="532" spans="1:12" ht="34" x14ac:dyDescent="0.2">
      <c r="A532" s="2" t="s">
        <v>12</v>
      </c>
      <c r="B532" s="4" t="s">
        <v>65</v>
      </c>
      <c r="C532" s="4">
        <v>2022</v>
      </c>
      <c r="D532" s="4">
        <v>9</v>
      </c>
      <c r="E532" s="2" t="s">
        <v>70</v>
      </c>
      <c r="F532" s="4" t="s">
        <v>71</v>
      </c>
      <c r="G532" s="7" t="s">
        <v>72</v>
      </c>
      <c r="H532" s="4">
        <v>9</v>
      </c>
      <c r="I532" s="4">
        <v>0</v>
      </c>
      <c r="J532" s="4">
        <v>583</v>
      </c>
      <c r="K532" s="2">
        <v>0</v>
      </c>
      <c r="L532" s="2">
        <v>1E-3</v>
      </c>
    </row>
    <row r="533" spans="1:12" ht="17" x14ac:dyDescent="0.2">
      <c r="A533" s="2" t="s">
        <v>12</v>
      </c>
      <c r="B533" s="4" t="s">
        <v>65</v>
      </c>
      <c r="C533" s="4">
        <v>2022</v>
      </c>
      <c r="D533" s="4">
        <v>9</v>
      </c>
      <c r="E533" s="2" t="s">
        <v>34</v>
      </c>
      <c r="F533" s="4" t="s">
        <v>26</v>
      </c>
      <c r="G533" s="7" t="s">
        <v>35</v>
      </c>
      <c r="H533" s="4">
        <v>7</v>
      </c>
      <c r="I533" s="4">
        <v>1</v>
      </c>
      <c r="J533" s="4">
        <v>8321</v>
      </c>
      <c r="K533" s="2">
        <v>153400</v>
      </c>
      <c r="L533" s="2">
        <v>0.16200000000000001</v>
      </c>
    </row>
    <row r="534" spans="1:12" ht="34" x14ac:dyDescent="0.2">
      <c r="A534" s="2" t="s">
        <v>12</v>
      </c>
      <c r="B534" s="4" t="s">
        <v>65</v>
      </c>
      <c r="C534" s="4">
        <v>2022</v>
      </c>
      <c r="D534" s="4">
        <v>9</v>
      </c>
      <c r="E534" s="2" t="s">
        <v>25</v>
      </c>
      <c r="F534" s="4" t="s">
        <v>26</v>
      </c>
      <c r="G534" s="7" t="s">
        <v>27</v>
      </c>
      <c r="H534" s="4">
        <v>7</v>
      </c>
      <c r="I534" s="4">
        <v>1</v>
      </c>
      <c r="J534" s="4">
        <v>17941</v>
      </c>
      <c r="K534" s="2">
        <v>580940</v>
      </c>
      <c r="L534" s="2">
        <v>0.59899999999999998</v>
      </c>
    </row>
    <row r="535" spans="1:12" ht="34" x14ac:dyDescent="0.2">
      <c r="A535" s="2" t="s">
        <v>12</v>
      </c>
      <c r="B535" s="4" t="s">
        <v>65</v>
      </c>
      <c r="C535" s="4">
        <v>2022</v>
      </c>
      <c r="D535" s="4">
        <v>9</v>
      </c>
      <c r="E535" s="2" t="s">
        <v>17</v>
      </c>
      <c r="F535" s="4" t="s">
        <v>18</v>
      </c>
      <c r="G535" s="7" t="s">
        <v>19</v>
      </c>
      <c r="H535" s="4">
        <v>38</v>
      </c>
      <c r="I535" s="4">
        <v>0</v>
      </c>
      <c r="J535" s="4">
        <v>5463</v>
      </c>
      <c r="K535" s="2">
        <v>0</v>
      </c>
      <c r="L535" s="2">
        <v>5.0000000000000001E-3</v>
      </c>
    </row>
    <row r="536" spans="1:12" ht="17" x14ac:dyDescent="0.2">
      <c r="A536" s="2" t="s">
        <v>12</v>
      </c>
      <c r="B536" s="4" t="s">
        <v>65</v>
      </c>
      <c r="C536" s="4">
        <v>2022</v>
      </c>
      <c r="D536" s="4">
        <v>9</v>
      </c>
      <c r="E536" s="2" t="s">
        <v>77</v>
      </c>
      <c r="F536" s="4" t="s">
        <v>15</v>
      </c>
      <c r="G536" s="7" t="s">
        <v>78</v>
      </c>
      <c r="H536" s="4">
        <v>9</v>
      </c>
      <c r="I536" s="4">
        <v>0</v>
      </c>
      <c r="J536" s="4">
        <v>847</v>
      </c>
      <c r="K536" s="2">
        <v>0</v>
      </c>
      <c r="L536" s="2">
        <v>1E-3</v>
      </c>
    </row>
    <row r="537" spans="1:12" ht="17" x14ac:dyDescent="0.2">
      <c r="A537" s="2" t="s">
        <v>12</v>
      </c>
      <c r="B537" s="4" t="s">
        <v>65</v>
      </c>
      <c r="C537" s="4">
        <v>2022</v>
      </c>
      <c r="D537" s="4">
        <v>9</v>
      </c>
      <c r="E537" s="2" t="s">
        <v>28</v>
      </c>
      <c r="F537" s="4" t="s">
        <v>29</v>
      </c>
      <c r="G537" s="7" t="s">
        <v>30</v>
      </c>
      <c r="H537" s="4">
        <v>546</v>
      </c>
      <c r="I537" s="4">
        <v>2</v>
      </c>
      <c r="J537" s="4">
        <v>2480000</v>
      </c>
      <c r="K537" s="2">
        <v>1150000</v>
      </c>
      <c r="L537" s="2">
        <v>3.63</v>
      </c>
    </row>
    <row r="538" spans="1:12" ht="17" x14ac:dyDescent="0.2">
      <c r="A538" s="2" t="s">
        <v>12</v>
      </c>
      <c r="B538" s="4" t="s">
        <v>65</v>
      </c>
      <c r="C538" s="4">
        <v>2022</v>
      </c>
      <c r="D538" s="4">
        <v>9</v>
      </c>
      <c r="E538" s="2" t="s">
        <v>87</v>
      </c>
      <c r="F538" s="4" t="s">
        <v>85</v>
      </c>
      <c r="G538" s="7" t="s">
        <v>88</v>
      </c>
      <c r="H538" s="4">
        <v>7</v>
      </c>
      <c r="I538" s="4">
        <v>0</v>
      </c>
      <c r="J538" s="4">
        <v>18614</v>
      </c>
      <c r="K538" s="2">
        <v>0</v>
      </c>
      <c r="L538" s="2">
        <v>1.9E-2</v>
      </c>
    </row>
    <row r="539" spans="1:12" ht="17" x14ac:dyDescent="0.2">
      <c r="A539" s="2" t="s">
        <v>12</v>
      </c>
      <c r="B539" s="4" t="s">
        <v>65</v>
      </c>
      <c r="C539" s="4">
        <v>2022</v>
      </c>
      <c r="D539" s="4">
        <v>9</v>
      </c>
      <c r="E539" s="2" t="s">
        <v>39</v>
      </c>
      <c r="F539" s="4" t="s">
        <v>40</v>
      </c>
      <c r="G539" s="7" t="s">
        <v>41</v>
      </c>
      <c r="H539" s="4">
        <v>35</v>
      </c>
      <c r="I539" s="4">
        <v>0</v>
      </c>
      <c r="J539" s="4">
        <v>60540</v>
      </c>
      <c r="K539" s="2">
        <v>0</v>
      </c>
      <c r="L539" s="2">
        <v>6.0999999999999999E-2</v>
      </c>
    </row>
    <row r="540" spans="1:12" ht="17" x14ac:dyDescent="0.2">
      <c r="A540" s="2" t="s">
        <v>12</v>
      </c>
      <c r="B540" s="4" t="s">
        <v>65</v>
      </c>
      <c r="C540" s="4">
        <v>2022</v>
      </c>
      <c r="D540" s="4">
        <v>9</v>
      </c>
      <c r="E540" s="2" t="s">
        <v>73</v>
      </c>
      <c r="F540" s="4" t="s">
        <v>29</v>
      </c>
      <c r="G540" s="7" t="s">
        <v>30</v>
      </c>
      <c r="H540" s="4">
        <v>1373</v>
      </c>
      <c r="I540" s="4">
        <v>1</v>
      </c>
      <c r="J540" s="4">
        <v>3065403</v>
      </c>
      <c r="K540" s="2">
        <v>881220</v>
      </c>
      <c r="L540" s="2">
        <v>3.9470000000000001</v>
      </c>
    </row>
    <row r="541" spans="1:12" ht="17" x14ac:dyDescent="0.2">
      <c r="A541" s="2" t="s">
        <v>12</v>
      </c>
      <c r="B541" s="4" t="s">
        <v>65</v>
      </c>
      <c r="C541" s="4">
        <v>2022</v>
      </c>
      <c r="D541" s="4">
        <v>9</v>
      </c>
      <c r="E541" s="2" t="s">
        <v>63</v>
      </c>
      <c r="F541" s="4" t="s">
        <v>26</v>
      </c>
      <c r="G541" s="7" t="s">
        <v>64</v>
      </c>
      <c r="H541" s="4">
        <v>9</v>
      </c>
      <c r="I541" s="4">
        <v>5</v>
      </c>
      <c r="J541" s="4">
        <v>12077</v>
      </c>
      <c r="K541" s="2">
        <v>1631764</v>
      </c>
      <c r="L541" s="2">
        <v>1.6439999999999999</v>
      </c>
    </row>
    <row r="542" spans="1:12" ht="17" x14ac:dyDescent="0.2">
      <c r="A542" s="2" t="s">
        <v>12</v>
      </c>
      <c r="B542" s="4" t="s">
        <v>65</v>
      </c>
      <c r="C542" s="4">
        <v>2022</v>
      </c>
      <c r="D542" s="4">
        <v>9</v>
      </c>
      <c r="E542" s="2" t="s">
        <v>79</v>
      </c>
      <c r="F542" s="4" t="s">
        <v>71</v>
      </c>
      <c r="G542" s="7" t="s">
        <v>80</v>
      </c>
      <c r="H542" s="4">
        <v>27</v>
      </c>
      <c r="I542" s="4">
        <v>3</v>
      </c>
      <c r="J542" s="4">
        <v>16739</v>
      </c>
      <c r="K542" s="2">
        <v>2630</v>
      </c>
      <c r="L542" s="2">
        <v>1.9E-2</v>
      </c>
    </row>
    <row r="543" spans="1:12" ht="17" x14ac:dyDescent="0.2">
      <c r="A543" s="2" t="s">
        <v>12</v>
      </c>
      <c r="B543" s="4" t="s">
        <v>65</v>
      </c>
      <c r="C543" s="4">
        <v>2022</v>
      </c>
      <c r="D543" s="4">
        <v>9</v>
      </c>
      <c r="E543" s="2" t="s">
        <v>60</v>
      </c>
      <c r="F543" s="4" t="s">
        <v>29</v>
      </c>
      <c r="G543" s="7" t="s">
        <v>30</v>
      </c>
      <c r="H543" s="4">
        <v>984</v>
      </c>
      <c r="I543" s="4">
        <v>2</v>
      </c>
      <c r="J543" s="4">
        <v>1693118</v>
      </c>
      <c r="K543" s="2">
        <v>628800</v>
      </c>
      <c r="L543" s="2">
        <v>2.3220000000000001</v>
      </c>
    </row>
    <row r="544" spans="1:12" ht="17" x14ac:dyDescent="0.2">
      <c r="A544" s="2" t="s">
        <v>12</v>
      </c>
      <c r="B544" s="4" t="s">
        <v>13</v>
      </c>
      <c r="C544" s="4">
        <v>2023</v>
      </c>
      <c r="D544" s="4">
        <v>9</v>
      </c>
      <c r="E544" s="2" t="s">
        <v>54</v>
      </c>
      <c r="F544" s="4" t="s">
        <v>55</v>
      </c>
      <c r="G544" s="7" t="s">
        <v>56</v>
      </c>
      <c r="H544" s="4">
        <v>101</v>
      </c>
      <c r="I544" s="4">
        <v>10</v>
      </c>
      <c r="J544" s="4">
        <v>219564</v>
      </c>
      <c r="K544" s="2">
        <v>19433</v>
      </c>
      <c r="L544" s="2">
        <v>0.23899999999999999</v>
      </c>
    </row>
    <row r="545" spans="1:12" ht="17" x14ac:dyDescent="0.2">
      <c r="A545" s="2" t="s">
        <v>12</v>
      </c>
      <c r="B545" s="4" t="s">
        <v>13</v>
      </c>
      <c r="C545" s="4">
        <v>2023</v>
      </c>
      <c r="D545" s="4">
        <v>9</v>
      </c>
      <c r="E545" s="2" t="s">
        <v>28</v>
      </c>
      <c r="F545" s="4" t="s">
        <v>29</v>
      </c>
      <c r="G545" s="7" t="s">
        <v>30</v>
      </c>
      <c r="H545" s="4">
        <v>639</v>
      </c>
      <c r="I545" s="4">
        <v>5</v>
      </c>
      <c r="J545" s="4">
        <v>3220000</v>
      </c>
      <c r="K545" s="2">
        <v>810000</v>
      </c>
      <c r="L545" s="2">
        <v>4.03</v>
      </c>
    </row>
    <row r="546" spans="1:12" ht="17" x14ac:dyDescent="0.2">
      <c r="A546" s="2" t="s">
        <v>12</v>
      </c>
      <c r="B546" s="4" t="s">
        <v>13</v>
      </c>
      <c r="C546" s="4">
        <v>2023</v>
      </c>
      <c r="D546" s="4">
        <v>9</v>
      </c>
      <c r="E546" s="2" t="s">
        <v>73</v>
      </c>
      <c r="F546" s="4" t="s">
        <v>29</v>
      </c>
      <c r="G546" s="7" t="s">
        <v>30</v>
      </c>
      <c r="H546" s="4">
        <v>1891</v>
      </c>
      <c r="I546" s="4">
        <v>3</v>
      </c>
      <c r="J546" s="4">
        <v>5252080</v>
      </c>
      <c r="K546" s="2">
        <v>3396720</v>
      </c>
      <c r="L546" s="2">
        <v>8.6489999999999991</v>
      </c>
    </row>
    <row r="547" spans="1:12" ht="17" x14ac:dyDescent="0.2">
      <c r="A547" s="2" t="s">
        <v>12</v>
      </c>
      <c r="B547" s="4" t="s">
        <v>13</v>
      </c>
      <c r="C547" s="4">
        <v>2023</v>
      </c>
      <c r="D547" s="4">
        <v>9</v>
      </c>
      <c r="E547" s="2" t="s">
        <v>60</v>
      </c>
      <c r="F547" s="4" t="s">
        <v>29</v>
      </c>
      <c r="G547" s="7" t="s">
        <v>30</v>
      </c>
      <c r="H547" s="4">
        <v>1225</v>
      </c>
      <c r="I547" s="4">
        <v>2</v>
      </c>
      <c r="J547" s="4">
        <v>2415049</v>
      </c>
      <c r="K547" s="2">
        <v>1002030</v>
      </c>
      <c r="L547" s="2">
        <v>3.4169999999999998</v>
      </c>
    </row>
    <row r="548" spans="1:12" ht="17" x14ac:dyDescent="0.2">
      <c r="A548" s="2" t="s">
        <v>12</v>
      </c>
      <c r="B548" s="4" t="s">
        <v>13</v>
      </c>
      <c r="C548" s="4">
        <v>2023</v>
      </c>
      <c r="D548" s="4">
        <v>9</v>
      </c>
      <c r="E548" s="2" t="s">
        <v>81</v>
      </c>
      <c r="F548" s="4" t="s">
        <v>82</v>
      </c>
      <c r="G548" s="7" t="s">
        <v>83</v>
      </c>
      <c r="H548" s="4">
        <v>3</v>
      </c>
      <c r="I548" s="4">
        <v>0</v>
      </c>
      <c r="J548" s="4">
        <v>1403</v>
      </c>
      <c r="K548" s="2">
        <v>0</v>
      </c>
      <c r="L548" s="2">
        <v>1E-3</v>
      </c>
    </row>
    <row r="549" spans="1:12" ht="17" x14ac:dyDescent="0.2">
      <c r="A549" s="2" t="s">
        <v>12</v>
      </c>
      <c r="B549" s="4" t="s">
        <v>13</v>
      </c>
      <c r="C549" s="4">
        <v>2023</v>
      </c>
      <c r="D549" s="4">
        <v>9</v>
      </c>
      <c r="E549" s="2" t="s">
        <v>90</v>
      </c>
      <c r="F549" s="4" t="s">
        <v>85</v>
      </c>
      <c r="G549" s="7" t="s">
        <v>91</v>
      </c>
      <c r="I549" s="4">
        <v>11</v>
      </c>
      <c r="J549" s="4">
        <v>430496</v>
      </c>
      <c r="K549" s="2">
        <v>83625</v>
      </c>
      <c r="L549" s="2">
        <v>0.51412100000000005</v>
      </c>
    </row>
    <row r="550" spans="1:12" ht="17" x14ac:dyDescent="0.2">
      <c r="A550" s="2" t="s">
        <v>12</v>
      </c>
      <c r="B550" s="4" t="s">
        <v>13</v>
      </c>
      <c r="C550" s="4">
        <v>2023</v>
      </c>
      <c r="D550" s="4">
        <v>9</v>
      </c>
      <c r="E550" s="2" t="s">
        <v>84</v>
      </c>
      <c r="F550" s="4" t="s">
        <v>85</v>
      </c>
      <c r="G550" s="7" t="s">
        <v>86</v>
      </c>
      <c r="I550" s="4">
        <v>11</v>
      </c>
      <c r="J550" s="4">
        <v>430496</v>
      </c>
      <c r="K550" s="2">
        <v>83625</v>
      </c>
      <c r="L550" s="2">
        <v>0.51412100000000005</v>
      </c>
    </row>
    <row r="551" spans="1:12" ht="17" x14ac:dyDescent="0.2">
      <c r="A551" s="2" t="s">
        <v>12</v>
      </c>
      <c r="B551" s="4" t="s">
        <v>13</v>
      </c>
      <c r="C551" s="4">
        <v>2023</v>
      </c>
      <c r="D551" s="4">
        <v>9</v>
      </c>
      <c r="E551" s="2" t="s">
        <v>87</v>
      </c>
      <c r="F551" s="4" t="s">
        <v>85</v>
      </c>
      <c r="G551" s="7" t="s">
        <v>88</v>
      </c>
      <c r="I551" s="4">
        <v>0</v>
      </c>
      <c r="J551" s="4">
        <v>17127</v>
      </c>
      <c r="K551" s="2">
        <v>0</v>
      </c>
      <c r="L551" s="2">
        <v>1.7127E-2</v>
      </c>
    </row>
    <row r="552" spans="1:12" ht="17" x14ac:dyDescent="0.2">
      <c r="A552" s="2" t="s">
        <v>12</v>
      </c>
      <c r="B552" s="4" t="s">
        <v>13</v>
      </c>
      <c r="C552" s="4">
        <v>2023</v>
      </c>
      <c r="D552" s="4">
        <v>9</v>
      </c>
      <c r="E552" s="2" t="s">
        <v>74</v>
      </c>
      <c r="F552" s="4" t="s">
        <v>75</v>
      </c>
      <c r="G552" s="7" t="s">
        <v>89</v>
      </c>
      <c r="H552" s="4">
        <v>15</v>
      </c>
      <c r="I552" s="4">
        <v>0</v>
      </c>
      <c r="J552" s="4">
        <v>13558</v>
      </c>
      <c r="K552" s="2">
        <v>0</v>
      </c>
      <c r="L552" s="2">
        <v>1.4E-2</v>
      </c>
    </row>
    <row r="553" spans="1:12" ht="17" x14ac:dyDescent="0.2">
      <c r="A553" s="2" t="s">
        <v>12</v>
      </c>
      <c r="B553" s="4" t="s">
        <v>13</v>
      </c>
      <c r="C553" s="4">
        <v>2023</v>
      </c>
      <c r="D553" s="4">
        <v>9</v>
      </c>
      <c r="E553" s="2" t="s">
        <v>92</v>
      </c>
      <c r="F553" s="4" t="s">
        <v>75</v>
      </c>
      <c r="G553" s="7" t="s">
        <v>93</v>
      </c>
      <c r="H553" s="4">
        <v>72</v>
      </c>
      <c r="I553" s="4">
        <v>0</v>
      </c>
      <c r="J553" s="4">
        <v>1263797</v>
      </c>
      <c r="K553" s="2">
        <v>0</v>
      </c>
      <c r="L553" s="2">
        <v>1.264</v>
      </c>
    </row>
    <row r="554" spans="1:12" ht="17" x14ac:dyDescent="0.2">
      <c r="A554" s="2" t="s">
        <v>12</v>
      </c>
      <c r="B554" s="4" t="s">
        <v>13</v>
      </c>
      <c r="C554" s="4">
        <v>2023</v>
      </c>
      <c r="D554" s="4">
        <v>9</v>
      </c>
      <c r="F554" s="4" t="s">
        <v>94</v>
      </c>
      <c r="G554" s="7" t="s">
        <v>95</v>
      </c>
      <c r="H554" s="4">
        <v>23</v>
      </c>
      <c r="I554" s="4">
        <v>7</v>
      </c>
      <c r="J554" s="4">
        <v>80946</v>
      </c>
      <c r="K554" s="2">
        <v>670686</v>
      </c>
      <c r="L554" s="2">
        <v>0.752</v>
      </c>
    </row>
    <row r="555" spans="1:12" ht="17" x14ac:dyDescent="0.2">
      <c r="A555" s="2" t="s">
        <v>12</v>
      </c>
      <c r="B555" s="4" t="s">
        <v>13</v>
      </c>
      <c r="C555" s="4">
        <v>2023</v>
      </c>
      <c r="D555" s="4">
        <v>9</v>
      </c>
      <c r="E555" s="2" t="s">
        <v>79</v>
      </c>
      <c r="F555" s="4" t="s">
        <v>71</v>
      </c>
      <c r="G555" s="7" t="s">
        <v>80</v>
      </c>
      <c r="I555" s="4">
        <v>9</v>
      </c>
      <c r="J555" s="4">
        <v>90000</v>
      </c>
      <c r="K555" s="2">
        <v>320000</v>
      </c>
      <c r="L555" s="2">
        <v>0.41</v>
      </c>
    </row>
    <row r="556" spans="1:12" ht="17" x14ac:dyDescent="0.2">
      <c r="A556" s="2" t="s">
        <v>12</v>
      </c>
      <c r="B556" s="4" t="s">
        <v>13</v>
      </c>
      <c r="C556" s="4">
        <v>2023</v>
      </c>
      <c r="D556" s="4">
        <v>9</v>
      </c>
      <c r="E556" s="2" t="s">
        <v>66</v>
      </c>
      <c r="F556" s="4" t="s">
        <v>58</v>
      </c>
      <c r="G556" s="7" t="s">
        <v>67</v>
      </c>
      <c r="H556" s="4">
        <v>2782</v>
      </c>
      <c r="I556" s="4">
        <v>17</v>
      </c>
      <c r="J556" s="4">
        <v>332219</v>
      </c>
      <c r="K556" s="2">
        <v>7424356</v>
      </c>
      <c r="L556" s="2">
        <v>7.7569999999999997</v>
      </c>
    </row>
    <row r="557" spans="1:12" ht="17" x14ac:dyDescent="0.2">
      <c r="A557" s="2" t="s">
        <v>12</v>
      </c>
      <c r="B557" s="4" t="s">
        <v>13</v>
      </c>
      <c r="C557" s="4">
        <v>2023</v>
      </c>
      <c r="D557" s="4">
        <v>9</v>
      </c>
      <c r="E557" s="2" t="s">
        <v>57</v>
      </c>
      <c r="F557" s="4" t="s">
        <v>58</v>
      </c>
      <c r="G557" s="7" t="s">
        <v>59</v>
      </c>
      <c r="H557" s="4">
        <v>199</v>
      </c>
      <c r="I557" s="4">
        <v>39</v>
      </c>
      <c r="J557" s="4">
        <v>347297</v>
      </c>
      <c r="K557" s="2">
        <v>1737301</v>
      </c>
      <c r="L557" s="2">
        <v>2.085</v>
      </c>
    </row>
    <row r="558" spans="1:12" ht="34" x14ac:dyDescent="0.2">
      <c r="A558" s="2" t="s">
        <v>12</v>
      </c>
      <c r="B558" s="4" t="s">
        <v>13</v>
      </c>
      <c r="C558" s="4">
        <v>2023</v>
      </c>
      <c r="D558" s="4">
        <v>9</v>
      </c>
      <c r="E558" s="2" t="s">
        <v>61</v>
      </c>
      <c r="F558" s="4" t="s">
        <v>26</v>
      </c>
      <c r="G558" s="7" t="s">
        <v>97</v>
      </c>
      <c r="H558" s="4">
        <v>29</v>
      </c>
      <c r="I558" s="4">
        <v>0</v>
      </c>
      <c r="J558" s="4">
        <v>19668</v>
      </c>
      <c r="K558" s="2">
        <v>0</v>
      </c>
      <c r="L558" s="2">
        <v>0.02</v>
      </c>
    </row>
    <row r="559" spans="1:12" ht="34" x14ac:dyDescent="0.2">
      <c r="A559" s="2" t="s">
        <v>12</v>
      </c>
      <c r="B559" s="4" t="s">
        <v>13</v>
      </c>
      <c r="C559" s="4">
        <v>2023</v>
      </c>
      <c r="D559" s="4">
        <v>9</v>
      </c>
      <c r="E559" s="2" t="s">
        <v>61</v>
      </c>
      <c r="F559" s="4" t="s">
        <v>26</v>
      </c>
      <c r="G559" s="7" t="s">
        <v>96</v>
      </c>
      <c r="H559" s="4">
        <v>29</v>
      </c>
      <c r="I559" s="4">
        <v>0</v>
      </c>
      <c r="J559" s="4">
        <v>19668</v>
      </c>
      <c r="K559" s="2">
        <v>0</v>
      </c>
      <c r="L559" s="2">
        <v>0.02</v>
      </c>
    </row>
    <row r="560" spans="1:12" ht="34" x14ac:dyDescent="0.2">
      <c r="A560" s="2" t="s">
        <v>12</v>
      </c>
      <c r="B560" s="4" t="s">
        <v>13</v>
      </c>
      <c r="C560" s="4">
        <v>2023</v>
      </c>
      <c r="D560" s="4">
        <v>9</v>
      </c>
      <c r="E560" s="2" t="s">
        <v>61</v>
      </c>
      <c r="F560" s="4" t="s">
        <v>26</v>
      </c>
      <c r="G560" s="7" t="s">
        <v>27</v>
      </c>
      <c r="H560" s="4">
        <v>53</v>
      </c>
      <c r="I560" s="4">
        <v>13</v>
      </c>
      <c r="J560" s="4">
        <v>48121</v>
      </c>
      <c r="K560" s="2">
        <v>1615706</v>
      </c>
      <c r="L560" s="2">
        <v>1.6639999999999999</v>
      </c>
    </row>
    <row r="561" spans="1:12" ht="17" x14ac:dyDescent="0.2">
      <c r="A561" s="2" t="s">
        <v>12</v>
      </c>
      <c r="B561" s="4" t="s">
        <v>13</v>
      </c>
      <c r="C561" s="4">
        <v>2023</v>
      </c>
      <c r="D561" s="4">
        <v>9</v>
      </c>
      <c r="E561" s="2" t="s">
        <v>68</v>
      </c>
      <c r="F561" s="4" t="s">
        <v>18</v>
      </c>
      <c r="G561" s="7" t="s">
        <v>69</v>
      </c>
      <c r="H561" s="4">
        <v>30</v>
      </c>
      <c r="I561" s="4">
        <v>8</v>
      </c>
      <c r="J561" s="4">
        <v>12969</v>
      </c>
      <c r="K561" s="2">
        <v>1162101</v>
      </c>
      <c r="L561" s="2">
        <v>1.175</v>
      </c>
    </row>
    <row r="562" spans="1:12" ht="17" x14ac:dyDescent="0.2">
      <c r="A562" s="2" t="s">
        <v>12</v>
      </c>
      <c r="B562" s="4" t="s">
        <v>13</v>
      </c>
      <c r="C562" s="4">
        <v>2023</v>
      </c>
      <c r="D562" s="4">
        <v>9</v>
      </c>
      <c r="E562" s="2" t="s">
        <v>54</v>
      </c>
      <c r="F562" s="4" t="s">
        <v>55</v>
      </c>
      <c r="G562" s="7" t="s">
        <v>56</v>
      </c>
      <c r="H562" s="4">
        <v>101</v>
      </c>
      <c r="I562" s="4">
        <v>10</v>
      </c>
      <c r="J562" s="4">
        <v>219564</v>
      </c>
      <c r="K562" s="2">
        <v>19433</v>
      </c>
      <c r="L562" s="2">
        <v>0.23899999999999999</v>
      </c>
    </row>
    <row r="563" spans="1:12" ht="17" x14ac:dyDescent="0.2">
      <c r="A563" s="2" t="s">
        <v>12</v>
      </c>
      <c r="B563" s="4" t="s">
        <v>13</v>
      </c>
      <c r="C563" s="4">
        <v>2023</v>
      </c>
      <c r="D563" s="4">
        <v>9</v>
      </c>
      <c r="E563" s="2" t="s">
        <v>34</v>
      </c>
      <c r="F563" s="4" t="s">
        <v>26</v>
      </c>
      <c r="G563" s="7" t="s">
        <v>35</v>
      </c>
      <c r="H563" s="4">
        <v>25</v>
      </c>
      <c r="I563" s="4">
        <v>3</v>
      </c>
      <c r="J563" s="4">
        <v>61807</v>
      </c>
      <c r="K563" s="2">
        <v>469488</v>
      </c>
      <c r="L563" s="2">
        <v>0.53100000000000003</v>
      </c>
    </row>
    <row r="564" spans="1:12" ht="17" x14ac:dyDescent="0.2">
      <c r="A564" s="2" t="s">
        <v>12</v>
      </c>
      <c r="B564" s="4" t="s">
        <v>13</v>
      </c>
      <c r="C564" s="4">
        <v>2023</v>
      </c>
      <c r="D564" s="4">
        <v>9</v>
      </c>
      <c r="E564" s="2" t="s">
        <v>45</v>
      </c>
      <c r="F564" s="4" t="s">
        <v>46</v>
      </c>
      <c r="G564" s="7" t="s">
        <v>47</v>
      </c>
      <c r="I564" s="4">
        <v>5</v>
      </c>
      <c r="J564" s="4">
        <v>144612</v>
      </c>
      <c r="K564" s="2">
        <v>31300</v>
      </c>
      <c r="L564" s="2">
        <v>0.17591200000000001</v>
      </c>
    </row>
    <row r="565" spans="1:12" ht="17" x14ac:dyDescent="0.2">
      <c r="A565" s="2" t="s">
        <v>12</v>
      </c>
      <c r="B565" s="4" t="s">
        <v>13</v>
      </c>
      <c r="C565" s="4">
        <v>2023</v>
      </c>
      <c r="D565" s="4">
        <v>9</v>
      </c>
      <c r="E565" s="2" t="s">
        <v>51</v>
      </c>
      <c r="F565" s="4" t="s">
        <v>52</v>
      </c>
      <c r="G565" s="7" t="s">
        <v>53</v>
      </c>
      <c r="H565" s="4">
        <v>12</v>
      </c>
      <c r="I565" s="4">
        <v>11</v>
      </c>
      <c r="J565" s="4">
        <v>1830</v>
      </c>
      <c r="K565" s="2">
        <v>220680</v>
      </c>
      <c r="L565" s="2">
        <v>0.223</v>
      </c>
    </row>
    <row r="566" spans="1:12" ht="17" x14ac:dyDescent="0.2">
      <c r="A566" s="2" t="s">
        <v>12</v>
      </c>
      <c r="B566" s="4" t="s">
        <v>13</v>
      </c>
      <c r="C566" s="4">
        <v>2023</v>
      </c>
      <c r="D566" s="4">
        <v>9</v>
      </c>
      <c r="E566" s="2" t="s">
        <v>63</v>
      </c>
      <c r="F566" s="4" t="s">
        <v>26</v>
      </c>
      <c r="G566" s="7" t="s">
        <v>64</v>
      </c>
      <c r="H566" s="4">
        <v>30</v>
      </c>
      <c r="I566" s="4">
        <v>8</v>
      </c>
      <c r="J566" s="4">
        <v>15148</v>
      </c>
      <c r="K566" s="2">
        <v>1700572</v>
      </c>
      <c r="L566" s="2">
        <v>1.716</v>
      </c>
    </row>
    <row r="567" spans="1:12" ht="17" x14ac:dyDescent="0.2">
      <c r="A567" s="2" t="s">
        <v>12</v>
      </c>
      <c r="B567" s="4" t="s">
        <v>13</v>
      </c>
      <c r="C567" s="4">
        <v>2023</v>
      </c>
      <c r="D567" s="4">
        <v>9</v>
      </c>
      <c r="E567" s="2" t="s">
        <v>98</v>
      </c>
      <c r="F567" s="4" t="s">
        <v>15</v>
      </c>
      <c r="G567" s="7" t="s">
        <v>99</v>
      </c>
      <c r="H567" s="4">
        <v>300</v>
      </c>
      <c r="I567" s="4">
        <v>0</v>
      </c>
      <c r="J567" s="4">
        <v>266959</v>
      </c>
      <c r="K567" s="2">
        <v>0</v>
      </c>
      <c r="L567" s="2">
        <v>0.26700000000000002</v>
      </c>
    </row>
    <row r="568" spans="1:12" ht="17" x14ac:dyDescent="0.2">
      <c r="A568" s="2" t="s">
        <v>12</v>
      </c>
      <c r="B568" s="4" t="s">
        <v>13</v>
      </c>
      <c r="C568" s="4">
        <v>2023</v>
      </c>
      <c r="D568" s="4">
        <v>9</v>
      </c>
      <c r="E568" s="2" t="s">
        <v>48</v>
      </c>
      <c r="F568" s="4" t="s">
        <v>49</v>
      </c>
      <c r="G568" s="7" t="s">
        <v>50</v>
      </c>
      <c r="I568" s="4">
        <v>0</v>
      </c>
      <c r="J568" s="4">
        <v>3590</v>
      </c>
      <c r="K568" s="2">
        <v>0</v>
      </c>
      <c r="L568" s="2">
        <v>0</v>
      </c>
    </row>
    <row r="569" spans="1:12" ht="17" x14ac:dyDescent="0.2">
      <c r="A569" s="2" t="s">
        <v>12</v>
      </c>
      <c r="B569" s="4" t="s">
        <v>13</v>
      </c>
      <c r="C569" s="4">
        <v>2023</v>
      </c>
      <c r="D569" s="4">
        <v>9</v>
      </c>
      <c r="E569" s="2" t="s">
        <v>77</v>
      </c>
      <c r="F569" s="4" t="s">
        <v>15</v>
      </c>
      <c r="G569" s="7" t="s">
        <v>78</v>
      </c>
      <c r="H569" s="4">
        <v>25</v>
      </c>
      <c r="I569" s="4">
        <v>3</v>
      </c>
      <c r="J569" s="4">
        <v>14144</v>
      </c>
      <c r="K569" s="2">
        <v>212408</v>
      </c>
      <c r="L569" s="2">
        <v>0.22700000000000001</v>
      </c>
    </row>
    <row r="570" spans="1:12" ht="34" x14ac:dyDescent="0.2">
      <c r="A570" s="2" t="s">
        <v>12</v>
      </c>
      <c r="B570" s="4" t="s">
        <v>13</v>
      </c>
      <c r="C570" s="4">
        <v>2023</v>
      </c>
      <c r="D570" s="4">
        <v>9</v>
      </c>
      <c r="E570" s="2" t="s">
        <v>70</v>
      </c>
      <c r="F570" s="4" t="s">
        <v>71</v>
      </c>
      <c r="G570" s="7" t="s">
        <v>72</v>
      </c>
      <c r="H570" s="4">
        <v>33</v>
      </c>
      <c r="I570" s="4">
        <v>0</v>
      </c>
      <c r="J570" s="4">
        <v>11429</v>
      </c>
      <c r="K570" s="2">
        <v>0</v>
      </c>
      <c r="L570" s="2">
        <v>1.0999999999999999E-2</v>
      </c>
    </row>
    <row r="571" spans="1:12" ht="17" x14ac:dyDescent="0.2">
      <c r="A571" s="2" t="s">
        <v>12</v>
      </c>
      <c r="B571" s="4" t="s">
        <v>13</v>
      </c>
      <c r="C571" s="4">
        <v>2023</v>
      </c>
      <c r="D571" s="4">
        <v>9</v>
      </c>
      <c r="E571" s="2" t="s">
        <v>36</v>
      </c>
      <c r="F571" s="4" t="s">
        <v>15</v>
      </c>
      <c r="G571" s="7" t="s">
        <v>37</v>
      </c>
      <c r="H571" s="4">
        <v>67</v>
      </c>
      <c r="I571" s="4">
        <v>2</v>
      </c>
      <c r="J571" s="4">
        <v>5612</v>
      </c>
      <c r="K571" s="2">
        <v>80109</v>
      </c>
      <c r="L571" s="2">
        <v>8.5999999999999993E-2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Q1- Stations by State</vt:lpstr>
      <vt:lpstr>Q2- Electricity by State</vt:lpstr>
      <vt:lpstr>Q3 (a)- Yearly Trend</vt:lpstr>
      <vt:lpstr>Q3 (b)- Monthly Trend</vt:lpstr>
      <vt:lpstr>Q4- Utilisation Index</vt:lpstr>
      <vt:lpstr>8486_cleaned_analysis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Saxena1</dc:creator>
  <cp:lastModifiedBy>Ananya Saxena1</cp:lastModifiedBy>
  <dcterms:created xsi:type="dcterms:W3CDTF">2026-06-27T16:19:38Z</dcterms:created>
  <dcterms:modified xsi:type="dcterms:W3CDTF">2026-07-14T17:17:59Z</dcterms:modified>
</cp:coreProperties>
</file>